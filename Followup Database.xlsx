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D:\Development\Project_Fllowup\"/>
    </mc:Choice>
  </mc:AlternateContent>
  <xr:revisionPtr revIDLastSave="0" documentId="8_{7AF8256E-F396-40DC-9847-C856588B433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List" sheetId="2" r:id="rId1"/>
    <sheet name="Projects List" sheetId="3" r:id="rId2"/>
    <sheet name="KPI" sheetId="7" r:id="rId3"/>
    <sheet name="Tasks" sheetId="4" r:id="rId4"/>
    <sheet name="External Tasks" sheetId="8" state="hidden" r:id="rId5"/>
    <sheet name="Employees" sheetId="5" r:id="rId6"/>
    <sheet name="HeadDep" sheetId="9" state="hidden" r:id="rId7"/>
  </sheets>
  <definedNames>
    <definedName name="_xlnm._FilterDatabase" localSheetId="5" hidden="1">Employees!$A$3:$G$38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3" l="1"/>
  <c r="AH1" i="3"/>
  <c r="AI1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C2" i="9"/>
  <c r="C3" i="9"/>
  <c r="C1" i="9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" i="5"/>
  <c r="E11" i="4"/>
  <c r="E12" i="4"/>
  <c r="E13" i="4"/>
  <c r="E14" i="4"/>
  <c r="E15" i="4"/>
  <c r="E16" i="4"/>
  <c r="E5" i="4"/>
  <c r="E6" i="4"/>
  <c r="E7" i="4"/>
  <c r="E8" i="4"/>
  <c r="E9" i="4"/>
  <c r="E10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4" i="4"/>
  <c r="E3" i="4"/>
  <c r="C5" i="7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F2" i="4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I205" i="3"/>
  <c r="M205" i="3" s="1"/>
  <c r="S205" i="3" s="1"/>
  <c r="Y205" i="3" s="1"/>
  <c r="I204" i="3"/>
  <c r="M204" i="3" s="1"/>
  <c r="S204" i="3" s="1"/>
  <c r="Y204" i="3" s="1"/>
  <c r="I203" i="3"/>
  <c r="M203" i="3" s="1"/>
  <c r="S203" i="3" s="1"/>
  <c r="Y203" i="3" s="1"/>
  <c r="I202" i="3"/>
  <c r="M202" i="3" s="1"/>
  <c r="S202" i="3" s="1"/>
  <c r="Y202" i="3" s="1"/>
  <c r="I201" i="3"/>
  <c r="M201" i="3" s="1"/>
  <c r="S201" i="3" s="1"/>
  <c r="Y201" i="3" s="1"/>
  <c r="I200" i="3"/>
  <c r="M200" i="3" s="1"/>
  <c r="S200" i="3" s="1"/>
  <c r="Y200" i="3" s="1"/>
  <c r="I199" i="3"/>
  <c r="M199" i="3" s="1"/>
  <c r="S199" i="3" s="1"/>
  <c r="Y199" i="3" s="1"/>
  <c r="I198" i="3"/>
  <c r="M198" i="3" s="1"/>
  <c r="S198" i="3" s="1"/>
  <c r="Y198" i="3" s="1"/>
  <c r="I197" i="3"/>
  <c r="M197" i="3" s="1"/>
  <c r="S197" i="3" s="1"/>
  <c r="Y197" i="3" s="1"/>
  <c r="I196" i="3"/>
  <c r="M196" i="3" s="1"/>
  <c r="S196" i="3" s="1"/>
  <c r="Y196" i="3" s="1"/>
  <c r="I195" i="3"/>
  <c r="M195" i="3" s="1"/>
  <c r="S195" i="3" s="1"/>
  <c r="Y195" i="3" s="1"/>
  <c r="I194" i="3"/>
  <c r="M194" i="3" s="1"/>
  <c r="S194" i="3" s="1"/>
  <c r="Y194" i="3" s="1"/>
  <c r="I193" i="3"/>
  <c r="M193" i="3" s="1"/>
  <c r="S193" i="3" s="1"/>
  <c r="Y193" i="3" s="1"/>
  <c r="I192" i="3"/>
  <c r="M192" i="3" s="1"/>
  <c r="S192" i="3" s="1"/>
  <c r="Y192" i="3" s="1"/>
  <c r="I191" i="3"/>
  <c r="M191" i="3" s="1"/>
  <c r="S191" i="3" s="1"/>
  <c r="Y191" i="3" s="1"/>
  <c r="I190" i="3"/>
  <c r="M190" i="3" s="1"/>
  <c r="S190" i="3" s="1"/>
  <c r="Y190" i="3" s="1"/>
  <c r="I189" i="3"/>
  <c r="M189" i="3" s="1"/>
  <c r="S189" i="3" s="1"/>
  <c r="Y189" i="3" s="1"/>
  <c r="I188" i="3"/>
  <c r="M188" i="3" s="1"/>
  <c r="S188" i="3" s="1"/>
  <c r="Y188" i="3" s="1"/>
  <c r="I187" i="3"/>
  <c r="M187" i="3" s="1"/>
  <c r="S187" i="3" s="1"/>
  <c r="Y187" i="3" s="1"/>
  <c r="I186" i="3"/>
  <c r="M186" i="3" s="1"/>
  <c r="S186" i="3" s="1"/>
  <c r="Y186" i="3" s="1"/>
  <c r="I185" i="3"/>
  <c r="M185" i="3" s="1"/>
  <c r="S185" i="3" s="1"/>
  <c r="Y185" i="3" s="1"/>
  <c r="I184" i="3"/>
  <c r="M184" i="3" s="1"/>
  <c r="S184" i="3" s="1"/>
  <c r="Y184" i="3" s="1"/>
  <c r="I183" i="3"/>
  <c r="M183" i="3" s="1"/>
  <c r="S183" i="3" s="1"/>
  <c r="Y183" i="3" s="1"/>
  <c r="I182" i="3"/>
  <c r="M182" i="3" s="1"/>
  <c r="S182" i="3" s="1"/>
  <c r="Y182" i="3" s="1"/>
  <c r="I181" i="3"/>
  <c r="M181" i="3" s="1"/>
  <c r="S181" i="3" s="1"/>
  <c r="Y181" i="3" s="1"/>
  <c r="I180" i="3"/>
  <c r="M180" i="3" s="1"/>
  <c r="S180" i="3" s="1"/>
  <c r="Y180" i="3" s="1"/>
  <c r="I179" i="3"/>
  <c r="M179" i="3" s="1"/>
  <c r="S179" i="3" s="1"/>
  <c r="Y179" i="3" s="1"/>
  <c r="I178" i="3"/>
  <c r="M178" i="3" s="1"/>
  <c r="S178" i="3" s="1"/>
  <c r="Y178" i="3" s="1"/>
  <c r="I177" i="3"/>
  <c r="M177" i="3" s="1"/>
  <c r="S177" i="3" s="1"/>
  <c r="Y177" i="3" s="1"/>
  <c r="I176" i="3"/>
  <c r="M176" i="3" s="1"/>
  <c r="S176" i="3" s="1"/>
  <c r="Y176" i="3" s="1"/>
  <c r="I175" i="3"/>
  <c r="M175" i="3" s="1"/>
  <c r="S175" i="3" s="1"/>
  <c r="Y175" i="3" s="1"/>
  <c r="I174" i="3"/>
  <c r="M174" i="3" s="1"/>
  <c r="S174" i="3" s="1"/>
  <c r="Y174" i="3" s="1"/>
  <c r="I173" i="3"/>
  <c r="M173" i="3" s="1"/>
  <c r="S173" i="3" s="1"/>
  <c r="Y173" i="3" s="1"/>
  <c r="I172" i="3"/>
  <c r="M172" i="3" s="1"/>
  <c r="S172" i="3" s="1"/>
  <c r="Y172" i="3" s="1"/>
  <c r="I171" i="3"/>
  <c r="M171" i="3" s="1"/>
  <c r="S171" i="3" s="1"/>
  <c r="Y171" i="3" s="1"/>
  <c r="I170" i="3"/>
  <c r="M170" i="3" s="1"/>
  <c r="S170" i="3" s="1"/>
  <c r="Y170" i="3" s="1"/>
  <c r="I169" i="3"/>
  <c r="M169" i="3" s="1"/>
  <c r="S169" i="3" s="1"/>
  <c r="Y169" i="3" s="1"/>
  <c r="I168" i="3"/>
  <c r="M168" i="3" s="1"/>
  <c r="S168" i="3" s="1"/>
  <c r="Y168" i="3" s="1"/>
  <c r="I167" i="3"/>
  <c r="M167" i="3" s="1"/>
  <c r="S167" i="3" s="1"/>
  <c r="Y167" i="3" s="1"/>
  <c r="I166" i="3"/>
  <c r="M166" i="3" s="1"/>
  <c r="S166" i="3" s="1"/>
  <c r="Y166" i="3" s="1"/>
  <c r="I165" i="3"/>
  <c r="M165" i="3" s="1"/>
  <c r="S165" i="3" s="1"/>
  <c r="Y165" i="3" s="1"/>
  <c r="I164" i="3"/>
  <c r="M164" i="3" s="1"/>
  <c r="S164" i="3" s="1"/>
  <c r="Y164" i="3" s="1"/>
  <c r="I163" i="3"/>
  <c r="M163" i="3" s="1"/>
  <c r="S163" i="3" s="1"/>
  <c r="Y163" i="3" s="1"/>
  <c r="I162" i="3"/>
  <c r="M162" i="3" s="1"/>
  <c r="S162" i="3" s="1"/>
  <c r="Y162" i="3" s="1"/>
  <c r="I161" i="3"/>
  <c r="M161" i="3" s="1"/>
  <c r="S161" i="3" s="1"/>
  <c r="Y161" i="3" s="1"/>
  <c r="I160" i="3"/>
  <c r="M160" i="3" s="1"/>
  <c r="S160" i="3" s="1"/>
  <c r="Y160" i="3" s="1"/>
  <c r="I159" i="3"/>
  <c r="M159" i="3" s="1"/>
  <c r="S159" i="3" s="1"/>
  <c r="Y159" i="3" s="1"/>
  <c r="I158" i="3"/>
  <c r="M158" i="3" s="1"/>
  <c r="S158" i="3" s="1"/>
  <c r="Y158" i="3" s="1"/>
  <c r="I157" i="3"/>
  <c r="M157" i="3" s="1"/>
  <c r="S157" i="3" s="1"/>
  <c r="Y157" i="3" s="1"/>
  <c r="I156" i="3"/>
  <c r="M156" i="3" s="1"/>
  <c r="S156" i="3" s="1"/>
  <c r="Y156" i="3" s="1"/>
  <c r="I155" i="3"/>
  <c r="M155" i="3" s="1"/>
  <c r="S155" i="3" s="1"/>
  <c r="Y155" i="3" s="1"/>
  <c r="I154" i="3"/>
  <c r="M154" i="3" s="1"/>
  <c r="S154" i="3" s="1"/>
  <c r="Y154" i="3" s="1"/>
  <c r="I153" i="3"/>
  <c r="M153" i="3" s="1"/>
  <c r="S153" i="3" s="1"/>
  <c r="Y153" i="3" s="1"/>
  <c r="I152" i="3"/>
  <c r="M152" i="3" s="1"/>
  <c r="S152" i="3" s="1"/>
  <c r="Y152" i="3" s="1"/>
  <c r="I151" i="3"/>
  <c r="M151" i="3" s="1"/>
  <c r="S151" i="3" s="1"/>
  <c r="Y151" i="3" s="1"/>
  <c r="I150" i="3"/>
  <c r="M150" i="3" s="1"/>
  <c r="S150" i="3" s="1"/>
  <c r="Y150" i="3" s="1"/>
  <c r="I149" i="3"/>
  <c r="M149" i="3" s="1"/>
  <c r="S149" i="3" s="1"/>
  <c r="Y149" i="3" s="1"/>
  <c r="I148" i="3"/>
  <c r="M148" i="3" s="1"/>
  <c r="S148" i="3" s="1"/>
  <c r="Y148" i="3" s="1"/>
  <c r="I147" i="3"/>
  <c r="M147" i="3" s="1"/>
  <c r="S147" i="3" s="1"/>
  <c r="Y147" i="3" s="1"/>
  <c r="I146" i="3"/>
  <c r="M146" i="3" s="1"/>
  <c r="S146" i="3" s="1"/>
  <c r="Y146" i="3" s="1"/>
  <c r="I145" i="3"/>
  <c r="M145" i="3" s="1"/>
  <c r="S145" i="3" s="1"/>
  <c r="Y145" i="3" s="1"/>
  <c r="I144" i="3"/>
  <c r="M144" i="3" s="1"/>
  <c r="S144" i="3" s="1"/>
  <c r="Y144" i="3" s="1"/>
  <c r="I143" i="3"/>
  <c r="M143" i="3" s="1"/>
  <c r="S143" i="3" s="1"/>
  <c r="Y143" i="3" s="1"/>
  <c r="I142" i="3"/>
  <c r="M142" i="3" s="1"/>
  <c r="S142" i="3" s="1"/>
  <c r="Y142" i="3" s="1"/>
  <c r="I141" i="3"/>
  <c r="M141" i="3" s="1"/>
  <c r="S141" i="3" s="1"/>
  <c r="Y141" i="3" s="1"/>
  <c r="I140" i="3"/>
  <c r="M140" i="3" s="1"/>
  <c r="S140" i="3" s="1"/>
  <c r="Y140" i="3" s="1"/>
  <c r="I139" i="3"/>
  <c r="M139" i="3" s="1"/>
  <c r="S139" i="3" s="1"/>
  <c r="Y139" i="3" s="1"/>
  <c r="I138" i="3"/>
  <c r="M138" i="3" s="1"/>
  <c r="S138" i="3" s="1"/>
  <c r="Y138" i="3" s="1"/>
  <c r="I137" i="3"/>
  <c r="M137" i="3" s="1"/>
  <c r="S137" i="3" s="1"/>
  <c r="Y137" i="3" s="1"/>
  <c r="I136" i="3"/>
  <c r="M136" i="3" s="1"/>
  <c r="S136" i="3" s="1"/>
  <c r="Y136" i="3" s="1"/>
  <c r="I135" i="3"/>
  <c r="M135" i="3" s="1"/>
  <c r="S135" i="3" s="1"/>
  <c r="Y135" i="3" s="1"/>
  <c r="I134" i="3"/>
  <c r="M134" i="3" s="1"/>
  <c r="S134" i="3" s="1"/>
  <c r="Y134" i="3" s="1"/>
  <c r="I133" i="3"/>
  <c r="M133" i="3" s="1"/>
  <c r="S133" i="3" s="1"/>
  <c r="Y133" i="3" s="1"/>
  <c r="I132" i="3"/>
  <c r="M132" i="3" s="1"/>
  <c r="S132" i="3" s="1"/>
  <c r="Y132" i="3" s="1"/>
  <c r="I131" i="3"/>
  <c r="M131" i="3" s="1"/>
  <c r="S131" i="3" s="1"/>
  <c r="Y131" i="3" s="1"/>
  <c r="I130" i="3"/>
  <c r="M130" i="3" s="1"/>
  <c r="S130" i="3" s="1"/>
  <c r="Y130" i="3" s="1"/>
  <c r="I129" i="3"/>
  <c r="M129" i="3" s="1"/>
  <c r="S129" i="3" s="1"/>
  <c r="Y129" i="3" s="1"/>
  <c r="I128" i="3"/>
  <c r="M128" i="3" s="1"/>
  <c r="S128" i="3" s="1"/>
  <c r="Y128" i="3" s="1"/>
  <c r="I127" i="3"/>
  <c r="M127" i="3" s="1"/>
  <c r="S127" i="3" s="1"/>
  <c r="Y127" i="3" s="1"/>
  <c r="I126" i="3"/>
  <c r="M126" i="3" s="1"/>
  <c r="S126" i="3" s="1"/>
  <c r="Y126" i="3" s="1"/>
  <c r="I125" i="3"/>
  <c r="M125" i="3" s="1"/>
  <c r="S125" i="3" s="1"/>
  <c r="Y125" i="3" s="1"/>
  <c r="I124" i="3"/>
  <c r="M124" i="3" s="1"/>
  <c r="S124" i="3" s="1"/>
  <c r="Y124" i="3" s="1"/>
  <c r="I123" i="3"/>
  <c r="M123" i="3" s="1"/>
  <c r="S123" i="3" s="1"/>
  <c r="Y123" i="3" s="1"/>
  <c r="I122" i="3"/>
  <c r="M122" i="3" s="1"/>
  <c r="S122" i="3" s="1"/>
  <c r="Y122" i="3" s="1"/>
  <c r="I121" i="3"/>
  <c r="M121" i="3" s="1"/>
  <c r="S121" i="3" s="1"/>
  <c r="Y121" i="3" s="1"/>
  <c r="I120" i="3"/>
  <c r="M120" i="3" s="1"/>
  <c r="S120" i="3" s="1"/>
  <c r="Y120" i="3" s="1"/>
  <c r="I119" i="3"/>
  <c r="M119" i="3" s="1"/>
  <c r="S119" i="3" s="1"/>
  <c r="Y119" i="3" s="1"/>
  <c r="I118" i="3"/>
  <c r="M118" i="3" s="1"/>
  <c r="S118" i="3" s="1"/>
  <c r="Y118" i="3" s="1"/>
  <c r="I117" i="3"/>
  <c r="M117" i="3" s="1"/>
  <c r="S117" i="3" s="1"/>
  <c r="Y117" i="3" s="1"/>
  <c r="I116" i="3"/>
  <c r="M116" i="3" s="1"/>
  <c r="S116" i="3" s="1"/>
  <c r="Y116" i="3" s="1"/>
  <c r="I115" i="3"/>
  <c r="M115" i="3" s="1"/>
  <c r="S115" i="3" s="1"/>
  <c r="Y115" i="3" s="1"/>
  <c r="I114" i="3"/>
  <c r="M114" i="3" s="1"/>
  <c r="S114" i="3" s="1"/>
  <c r="Y114" i="3" s="1"/>
  <c r="I113" i="3"/>
  <c r="M113" i="3" s="1"/>
  <c r="S113" i="3" s="1"/>
  <c r="Y113" i="3" s="1"/>
  <c r="I112" i="3"/>
  <c r="M112" i="3" s="1"/>
  <c r="S112" i="3" s="1"/>
  <c r="Y112" i="3" s="1"/>
  <c r="I111" i="3"/>
  <c r="M111" i="3" s="1"/>
  <c r="S111" i="3" s="1"/>
  <c r="Y111" i="3" s="1"/>
  <c r="I110" i="3"/>
  <c r="M110" i="3" s="1"/>
  <c r="S110" i="3" s="1"/>
  <c r="Y110" i="3" s="1"/>
  <c r="I109" i="3"/>
  <c r="M109" i="3" s="1"/>
  <c r="S109" i="3" s="1"/>
  <c r="Y109" i="3" s="1"/>
  <c r="I108" i="3"/>
  <c r="M108" i="3" s="1"/>
  <c r="S108" i="3" s="1"/>
  <c r="Y108" i="3" s="1"/>
  <c r="I107" i="3"/>
  <c r="M107" i="3" s="1"/>
  <c r="S107" i="3" s="1"/>
  <c r="Y107" i="3" s="1"/>
  <c r="I106" i="3"/>
  <c r="M106" i="3" s="1"/>
  <c r="S106" i="3" s="1"/>
  <c r="Y106" i="3" s="1"/>
  <c r="I105" i="3"/>
  <c r="M105" i="3" s="1"/>
  <c r="S105" i="3" s="1"/>
  <c r="Y105" i="3" s="1"/>
  <c r="I104" i="3"/>
  <c r="M104" i="3" s="1"/>
  <c r="S104" i="3" s="1"/>
  <c r="Y104" i="3" s="1"/>
  <c r="I103" i="3"/>
  <c r="M103" i="3" s="1"/>
  <c r="S103" i="3" s="1"/>
  <c r="Y103" i="3" s="1"/>
  <c r="I102" i="3"/>
  <c r="M102" i="3" s="1"/>
  <c r="S102" i="3" s="1"/>
  <c r="Y102" i="3" s="1"/>
  <c r="I101" i="3"/>
  <c r="M101" i="3" s="1"/>
  <c r="S101" i="3" s="1"/>
  <c r="Y101" i="3" s="1"/>
  <c r="I100" i="3"/>
  <c r="M100" i="3" s="1"/>
  <c r="S100" i="3" s="1"/>
  <c r="Y100" i="3" s="1"/>
  <c r="I99" i="3"/>
  <c r="M99" i="3" s="1"/>
  <c r="S99" i="3" s="1"/>
  <c r="Y99" i="3" s="1"/>
  <c r="I98" i="3"/>
  <c r="M98" i="3" s="1"/>
  <c r="S98" i="3" s="1"/>
  <c r="Y98" i="3" s="1"/>
  <c r="I97" i="3"/>
  <c r="M97" i="3" s="1"/>
  <c r="S97" i="3" s="1"/>
  <c r="Y97" i="3" s="1"/>
  <c r="I96" i="3"/>
  <c r="M96" i="3" s="1"/>
  <c r="S96" i="3" s="1"/>
  <c r="Y96" i="3" s="1"/>
  <c r="I95" i="3"/>
  <c r="M95" i="3" s="1"/>
  <c r="S95" i="3" s="1"/>
  <c r="Y95" i="3" s="1"/>
  <c r="I94" i="3"/>
  <c r="M94" i="3" s="1"/>
  <c r="S94" i="3" s="1"/>
  <c r="Y94" i="3" s="1"/>
  <c r="I93" i="3"/>
  <c r="M93" i="3" s="1"/>
  <c r="S93" i="3" s="1"/>
  <c r="Y93" i="3" s="1"/>
  <c r="I92" i="3"/>
  <c r="M92" i="3" s="1"/>
  <c r="S92" i="3" s="1"/>
  <c r="Y92" i="3" s="1"/>
  <c r="I91" i="3"/>
  <c r="M91" i="3" s="1"/>
  <c r="S91" i="3" s="1"/>
  <c r="Y91" i="3" s="1"/>
  <c r="I90" i="3"/>
  <c r="M90" i="3" s="1"/>
  <c r="S90" i="3" s="1"/>
  <c r="Y90" i="3" s="1"/>
  <c r="I89" i="3"/>
  <c r="M89" i="3" s="1"/>
  <c r="S89" i="3" s="1"/>
  <c r="Y89" i="3" s="1"/>
  <c r="I88" i="3"/>
  <c r="M88" i="3" s="1"/>
  <c r="S88" i="3" s="1"/>
  <c r="Y88" i="3" s="1"/>
  <c r="I87" i="3"/>
  <c r="M87" i="3" s="1"/>
  <c r="S87" i="3" s="1"/>
  <c r="Y87" i="3" s="1"/>
  <c r="I86" i="3"/>
  <c r="M86" i="3" s="1"/>
  <c r="S86" i="3" s="1"/>
  <c r="Y86" i="3" s="1"/>
  <c r="I85" i="3"/>
  <c r="M85" i="3" s="1"/>
  <c r="S85" i="3" s="1"/>
  <c r="Y85" i="3" s="1"/>
  <c r="I84" i="3"/>
  <c r="M84" i="3" s="1"/>
  <c r="S84" i="3" s="1"/>
  <c r="Y84" i="3" s="1"/>
  <c r="I83" i="3"/>
  <c r="M83" i="3" s="1"/>
  <c r="S83" i="3" s="1"/>
  <c r="Y83" i="3" s="1"/>
  <c r="I82" i="3"/>
  <c r="M82" i="3" s="1"/>
  <c r="S82" i="3" s="1"/>
  <c r="Y82" i="3" s="1"/>
  <c r="I81" i="3"/>
  <c r="M81" i="3" s="1"/>
  <c r="S81" i="3" s="1"/>
  <c r="Y81" i="3" s="1"/>
  <c r="I80" i="3"/>
  <c r="M80" i="3" s="1"/>
  <c r="S80" i="3" s="1"/>
  <c r="Y80" i="3" s="1"/>
  <c r="I79" i="3"/>
  <c r="M79" i="3" s="1"/>
  <c r="S79" i="3" s="1"/>
  <c r="Y79" i="3" s="1"/>
  <c r="I78" i="3"/>
  <c r="M78" i="3" s="1"/>
  <c r="S78" i="3" s="1"/>
  <c r="Y78" i="3" s="1"/>
  <c r="I77" i="3"/>
  <c r="M77" i="3" s="1"/>
  <c r="S77" i="3" s="1"/>
  <c r="Y77" i="3" s="1"/>
  <c r="I76" i="3"/>
  <c r="M76" i="3" s="1"/>
  <c r="S76" i="3" s="1"/>
  <c r="Y76" i="3" s="1"/>
  <c r="I75" i="3"/>
  <c r="M75" i="3" s="1"/>
  <c r="S75" i="3" s="1"/>
  <c r="Y75" i="3" s="1"/>
  <c r="I74" i="3"/>
  <c r="M74" i="3" s="1"/>
  <c r="S74" i="3" s="1"/>
  <c r="Y74" i="3" s="1"/>
  <c r="I73" i="3"/>
  <c r="M73" i="3" s="1"/>
  <c r="S73" i="3" s="1"/>
  <c r="Y73" i="3" s="1"/>
  <c r="I72" i="3"/>
  <c r="M72" i="3" s="1"/>
  <c r="S72" i="3" s="1"/>
  <c r="Y72" i="3" s="1"/>
  <c r="I71" i="3"/>
  <c r="M71" i="3" s="1"/>
  <c r="S71" i="3" s="1"/>
  <c r="Y71" i="3" s="1"/>
  <c r="I70" i="3"/>
  <c r="M70" i="3" s="1"/>
  <c r="S70" i="3" s="1"/>
  <c r="Y70" i="3" s="1"/>
  <c r="I69" i="3"/>
  <c r="M69" i="3" s="1"/>
  <c r="S69" i="3" s="1"/>
  <c r="Y69" i="3" s="1"/>
  <c r="I68" i="3"/>
  <c r="M68" i="3" s="1"/>
  <c r="S68" i="3" s="1"/>
  <c r="Y68" i="3" s="1"/>
  <c r="I67" i="3"/>
  <c r="M67" i="3" s="1"/>
  <c r="S67" i="3" s="1"/>
  <c r="Y67" i="3" s="1"/>
  <c r="I66" i="3"/>
  <c r="M66" i="3" s="1"/>
  <c r="S66" i="3" s="1"/>
  <c r="Y66" i="3" s="1"/>
  <c r="I65" i="3"/>
  <c r="M65" i="3" s="1"/>
  <c r="S65" i="3" s="1"/>
  <c r="Y65" i="3" s="1"/>
  <c r="I64" i="3"/>
  <c r="M64" i="3" s="1"/>
  <c r="S64" i="3" s="1"/>
  <c r="Y64" i="3" s="1"/>
  <c r="I63" i="3"/>
  <c r="M63" i="3" s="1"/>
  <c r="S63" i="3" s="1"/>
  <c r="Y63" i="3" s="1"/>
  <c r="I62" i="3"/>
  <c r="M62" i="3" s="1"/>
  <c r="S62" i="3" s="1"/>
  <c r="Y62" i="3" s="1"/>
  <c r="I61" i="3"/>
  <c r="M61" i="3" s="1"/>
  <c r="S61" i="3" s="1"/>
  <c r="Y61" i="3" s="1"/>
  <c r="I60" i="3"/>
  <c r="M60" i="3" s="1"/>
  <c r="S60" i="3" s="1"/>
  <c r="Y60" i="3" s="1"/>
  <c r="I59" i="3"/>
  <c r="M59" i="3" s="1"/>
  <c r="S59" i="3" s="1"/>
  <c r="Y59" i="3" s="1"/>
  <c r="I58" i="3"/>
  <c r="M58" i="3" s="1"/>
  <c r="S58" i="3" s="1"/>
  <c r="Y58" i="3" s="1"/>
  <c r="I57" i="3"/>
  <c r="M57" i="3" s="1"/>
  <c r="S57" i="3" s="1"/>
  <c r="Y57" i="3" s="1"/>
  <c r="I56" i="3"/>
  <c r="M56" i="3" s="1"/>
  <c r="S56" i="3" s="1"/>
  <c r="Y56" i="3" s="1"/>
  <c r="I55" i="3"/>
  <c r="M55" i="3" s="1"/>
  <c r="S55" i="3" s="1"/>
  <c r="Y55" i="3" s="1"/>
  <c r="I54" i="3"/>
  <c r="M54" i="3" s="1"/>
  <c r="S54" i="3" s="1"/>
  <c r="Y54" i="3" s="1"/>
  <c r="I53" i="3"/>
  <c r="M53" i="3" s="1"/>
  <c r="S53" i="3" s="1"/>
  <c r="Y53" i="3" s="1"/>
  <c r="I52" i="3"/>
  <c r="M52" i="3" s="1"/>
  <c r="S52" i="3" s="1"/>
  <c r="Y52" i="3" s="1"/>
  <c r="I51" i="3"/>
  <c r="M51" i="3" s="1"/>
  <c r="S51" i="3" s="1"/>
  <c r="Y51" i="3" s="1"/>
  <c r="I50" i="3"/>
  <c r="M50" i="3" s="1"/>
  <c r="S50" i="3" s="1"/>
  <c r="Y50" i="3" s="1"/>
  <c r="I49" i="3"/>
  <c r="M49" i="3" s="1"/>
  <c r="S49" i="3" s="1"/>
  <c r="Y49" i="3" s="1"/>
  <c r="I48" i="3"/>
  <c r="M48" i="3" s="1"/>
  <c r="S48" i="3" s="1"/>
  <c r="Y48" i="3" s="1"/>
  <c r="I47" i="3"/>
  <c r="M47" i="3" s="1"/>
  <c r="S47" i="3" s="1"/>
  <c r="Y47" i="3" s="1"/>
  <c r="I46" i="3"/>
  <c r="M46" i="3" s="1"/>
  <c r="S46" i="3" s="1"/>
  <c r="Y46" i="3" s="1"/>
  <c r="I45" i="3"/>
  <c r="M45" i="3" s="1"/>
  <c r="S45" i="3" s="1"/>
  <c r="Y45" i="3" s="1"/>
  <c r="I44" i="3"/>
  <c r="M44" i="3" s="1"/>
  <c r="S44" i="3" s="1"/>
  <c r="Y44" i="3" s="1"/>
  <c r="I43" i="3"/>
  <c r="M43" i="3" s="1"/>
  <c r="S43" i="3" s="1"/>
  <c r="Y43" i="3" s="1"/>
  <c r="I42" i="3"/>
  <c r="M42" i="3" s="1"/>
  <c r="S42" i="3" s="1"/>
  <c r="Y42" i="3" s="1"/>
  <c r="I41" i="3"/>
  <c r="M41" i="3" s="1"/>
  <c r="S41" i="3" s="1"/>
  <c r="Y41" i="3" s="1"/>
  <c r="I40" i="3"/>
  <c r="M40" i="3" s="1"/>
  <c r="S40" i="3" s="1"/>
  <c r="Y40" i="3" s="1"/>
  <c r="I39" i="3"/>
  <c r="M39" i="3" s="1"/>
  <c r="S39" i="3" s="1"/>
  <c r="Y39" i="3" s="1"/>
  <c r="I38" i="3"/>
  <c r="M38" i="3" s="1"/>
  <c r="S38" i="3" s="1"/>
  <c r="Y38" i="3" s="1"/>
  <c r="I37" i="3"/>
  <c r="M37" i="3" s="1"/>
  <c r="S37" i="3" s="1"/>
  <c r="Y37" i="3" s="1"/>
  <c r="I36" i="3"/>
  <c r="M36" i="3" s="1"/>
  <c r="S36" i="3" s="1"/>
  <c r="Y36" i="3" s="1"/>
  <c r="I35" i="3"/>
  <c r="M35" i="3" s="1"/>
  <c r="S35" i="3" s="1"/>
  <c r="Y35" i="3" s="1"/>
  <c r="I34" i="3"/>
  <c r="M34" i="3" s="1"/>
  <c r="S34" i="3" s="1"/>
  <c r="Y34" i="3" s="1"/>
  <c r="I33" i="3"/>
  <c r="M33" i="3" s="1"/>
  <c r="S33" i="3" s="1"/>
  <c r="Y33" i="3" s="1"/>
  <c r="I32" i="3"/>
  <c r="M32" i="3" s="1"/>
  <c r="S32" i="3" s="1"/>
  <c r="Y32" i="3" s="1"/>
  <c r="I31" i="3"/>
  <c r="M31" i="3" s="1"/>
  <c r="S31" i="3" s="1"/>
  <c r="Y31" i="3" s="1"/>
  <c r="I30" i="3"/>
  <c r="M30" i="3" s="1"/>
  <c r="S30" i="3" s="1"/>
  <c r="Y30" i="3" s="1"/>
  <c r="I29" i="3"/>
  <c r="M29" i="3" s="1"/>
  <c r="S29" i="3" s="1"/>
  <c r="Y29" i="3" s="1"/>
  <c r="I28" i="3"/>
  <c r="M28" i="3" s="1"/>
  <c r="S28" i="3" s="1"/>
  <c r="Y28" i="3" s="1"/>
  <c r="I27" i="3"/>
  <c r="M27" i="3" s="1"/>
  <c r="S27" i="3" s="1"/>
  <c r="Y27" i="3" s="1"/>
  <c r="I26" i="3"/>
  <c r="M26" i="3" s="1"/>
  <c r="S26" i="3" s="1"/>
  <c r="Y26" i="3" s="1"/>
  <c r="I25" i="3"/>
  <c r="M25" i="3" s="1"/>
  <c r="S25" i="3" s="1"/>
  <c r="Y25" i="3" s="1"/>
  <c r="I24" i="3"/>
  <c r="M24" i="3" s="1"/>
  <c r="S24" i="3" s="1"/>
  <c r="Y24" i="3" s="1"/>
  <c r="I23" i="3"/>
  <c r="M23" i="3" s="1"/>
  <c r="S23" i="3" s="1"/>
  <c r="Y23" i="3" s="1"/>
  <c r="I22" i="3"/>
  <c r="M22" i="3" s="1"/>
  <c r="S22" i="3" s="1"/>
  <c r="Y22" i="3" s="1"/>
  <c r="I21" i="3"/>
  <c r="M21" i="3" s="1"/>
  <c r="S21" i="3" s="1"/>
  <c r="Y21" i="3" s="1"/>
  <c r="I20" i="3"/>
  <c r="M20" i="3" s="1"/>
  <c r="S20" i="3" s="1"/>
  <c r="Y20" i="3" s="1"/>
  <c r="I19" i="3"/>
  <c r="M19" i="3" s="1"/>
  <c r="S19" i="3" s="1"/>
  <c r="Y19" i="3" s="1"/>
  <c r="I18" i="3"/>
  <c r="M18" i="3" s="1"/>
  <c r="S18" i="3" s="1"/>
  <c r="Y18" i="3" s="1"/>
  <c r="I17" i="3"/>
  <c r="M17" i="3" s="1"/>
  <c r="S17" i="3" s="1"/>
  <c r="Y17" i="3" s="1"/>
  <c r="I16" i="3"/>
  <c r="M16" i="3" s="1"/>
  <c r="S16" i="3" s="1"/>
  <c r="Y16" i="3" s="1"/>
  <c r="I15" i="3"/>
  <c r="M15" i="3" s="1"/>
  <c r="S15" i="3" s="1"/>
  <c r="Y15" i="3" s="1"/>
  <c r="I14" i="3"/>
  <c r="M14" i="3" s="1"/>
  <c r="S14" i="3" s="1"/>
  <c r="Y14" i="3" s="1"/>
  <c r="I13" i="3"/>
  <c r="M13" i="3" s="1"/>
  <c r="S13" i="3" s="1"/>
  <c r="Y13" i="3" s="1"/>
  <c r="I12" i="3"/>
  <c r="M12" i="3" s="1"/>
  <c r="S12" i="3" s="1"/>
  <c r="Y12" i="3" s="1"/>
  <c r="I11" i="3"/>
  <c r="M11" i="3" s="1"/>
  <c r="S11" i="3" s="1"/>
  <c r="Y11" i="3" s="1"/>
  <c r="I10" i="3"/>
  <c r="M10" i="3" s="1"/>
  <c r="S10" i="3" s="1"/>
  <c r="Y10" i="3" s="1"/>
  <c r="I9" i="3"/>
  <c r="M9" i="3" s="1"/>
  <c r="S9" i="3" s="1"/>
  <c r="Y9" i="3" s="1"/>
  <c r="I8" i="3"/>
  <c r="M8" i="3" s="1"/>
  <c r="S8" i="3" s="1"/>
  <c r="Y8" i="3" s="1"/>
  <c r="J8" i="3" s="1"/>
  <c r="I6" i="3"/>
  <c r="I5" i="3"/>
  <c r="M5" i="3" s="1"/>
  <c r="S5" i="3" s="1"/>
  <c r="AA5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B5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M4" i="7"/>
  <c r="M5" i="7"/>
  <c r="M6" i="7"/>
  <c r="M7" i="7"/>
  <c r="M3" i="7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5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26" i="5"/>
  <c r="A38" i="5"/>
  <c r="A25" i="5"/>
  <c r="A37" i="5"/>
  <c r="A19" i="5"/>
  <c r="A18" i="5"/>
  <c r="A17" i="5"/>
  <c r="A16" i="5"/>
  <c r="A15" i="5"/>
  <c r="A36" i="5"/>
  <c r="A14" i="5"/>
  <c r="A35" i="5"/>
  <c r="A13" i="5"/>
  <c r="A12" i="5"/>
  <c r="A23" i="5"/>
  <c r="A9" i="5"/>
  <c r="A22" i="5"/>
  <c r="A33" i="5"/>
  <c r="A32" i="5"/>
  <c r="A21" i="5"/>
  <c r="A31" i="5"/>
  <c r="A8" i="5"/>
  <c r="A7" i="5"/>
  <c r="A6" i="5"/>
  <c r="A5" i="5"/>
  <c r="A30" i="5"/>
  <c r="A29" i="5"/>
  <c r="A28" i="5"/>
  <c r="A4" i="5"/>
  <c r="A27" i="5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4" i="4"/>
  <c r="A121" i="4"/>
  <c r="A117" i="4"/>
  <c r="A116" i="4"/>
  <c r="A115" i="4"/>
  <c r="A114" i="4"/>
  <c r="A113" i="4"/>
  <c r="A112" i="4"/>
  <c r="A107" i="4"/>
  <c r="A106" i="4"/>
  <c r="A105" i="4"/>
  <c r="A104" i="4"/>
  <c r="A102" i="4"/>
  <c r="A90" i="4"/>
  <c r="A89" i="4"/>
  <c r="A88" i="4"/>
  <c r="A87" i="4"/>
  <c r="A85" i="4"/>
  <c r="A84" i="4"/>
  <c r="A83" i="4"/>
  <c r="A43" i="4"/>
  <c r="A38" i="4"/>
  <c r="A17" i="4"/>
  <c r="A16" i="4"/>
  <c r="A15" i="4"/>
  <c r="A13" i="4"/>
  <c r="A9" i="4"/>
  <c r="A7" i="4"/>
  <c r="A6" i="4"/>
  <c r="A5" i="4"/>
  <c r="A4" i="4"/>
  <c r="A3" i="4"/>
  <c r="E1" i="3"/>
  <c r="D1" i="3"/>
  <c r="C1" i="3"/>
  <c r="B1" i="3"/>
  <c r="A1" i="3"/>
  <c r="G2" i="4" a="1"/>
  <c r="G51" i="8" l="1"/>
  <c r="F51" i="8" s="1"/>
  <c r="E51" i="8" s="1"/>
  <c r="G52" i="8"/>
  <c r="F52" i="8" s="1"/>
  <c r="E52" i="8" s="1"/>
  <c r="G53" i="8"/>
  <c r="F53" i="8" s="1"/>
  <c r="E53" i="8" s="1"/>
  <c r="G54" i="8"/>
  <c r="F54" i="8" s="1"/>
  <c r="E54" i="8" s="1"/>
  <c r="G55" i="8"/>
  <c r="F55" i="8" s="1"/>
  <c r="E55" i="8" s="1"/>
  <c r="G56" i="8"/>
  <c r="F56" i="8" s="1"/>
  <c r="E56" i="8" s="1"/>
  <c r="G57" i="8"/>
  <c r="F57" i="8" s="1"/>
  <c r="E57" i="8" s="1"/>
  <c r="G58" i="8"/>
  <c r="F58" i="8" s="1"/>
  <c r="E58" i="8" s="1"/>
  <c r="G59" i="8"/>
  <c r="F59" i="8" s="1"/>
  <c r="E59" i="8" s="1"/>
  <c r="G60" i="8"/>
  <c r="F60" i="8" s="1"/>
  <c r="E60" i="8" s="1"/>
  <c r="G61" i="8"/>
  <c r="F61" i="8" s="1"/>
  <c r="E61" i="8" s="1"/>
  <c r="G62" i="8"/>
  <c r="F62" i="8" s="1"/>
  <c r="E62" i="8" s="1"/>
  <c r="G63" i="8"/>
  <c r="F63" i="8" s="1"/>
  <c r="E63" i="8" s="1"/>
  <c r="G64" i="8"/>
  <c r="F64" i="8" s="1"/>
  <c r="E64" i="8" s="1"/>
  <c r="G65" i="8"/>
  <c r="F65" i="8" s="1"/>
  <c r="E65" i="8" s="1"/>
  <c r="G66" i="8"/>
  <c r="F66" i="8" s="1"/>
  <c r="E66" i="8" s="1"/>
  <c r="G67" i="8"/>
  <c r="F67" i="8" s="1"/>
  <c r="E67" i="8" s="1"/>
  <c r="G68" i="8"/>
  <c r="F68" i="8" s="1"/>
  <c r="E68" i="8" s="1"/>
  <c r="G69" i="8"/>
  <c r="F69" i="8" s="1"/>
  <c r="E69" i="8" s="1"/>
  <c r="G70" i="8"/>
  <c r="F70" i="8" s="1"/>
  <c r="E70" i="8" s="1"/>
  <c r="G71" i="8"/>
  <c r="F71" i="8" s="1"/>
  <c r="E71" i="8" s="1"/>
  <c r="G72" i="8"/>
  <c r="F72" i="8" s="1"/>
  <c r="E72" i="8" s="1"/>
  <c r="G73" i="8"/>
  <c r="F73" i="8" s="1"/>
  <c r="E73" i="8" s="1"/>
  <c r="G74" i="8"/>
  <c r="F74" i="8" s="1"/>
  <c r="E74" i="8" s="1"/>
  <c r="G75" i="8"/>
  <c r="F75" i="8" s="1"/>
  <c r="E75" i="8" s="1"/>
  <c r="G76" i="8"/>
  <c r="F76" i="8" s="1"/>
  <c r="E76" i="8" s="1"/>
  <c r="G77" i="8"/>
  <c r="F77" i="8" s="1"/>
  <c r="E77" i="8" s="1"/>
  <c r="G78" i="8"/>
  <c r="F78" i="8" s="1"/>
  <c r="E78" i="8" s="1"/>
  <c r="G79" i="8"/>
  <c r="F79" i="8" s="1"/>
  <c r="E79" i="8" s="1"/>
  <c r="G80" i="8"/>
  <c r="F80" i="8" s="1"/>
  <c r="E80" i="8" s="1"/>
  <c r="G81" i="8"/>
  <c r="F81" i="8" s="1"/>
  <c r="E81" i="8" s="1"/>
  <c r="G82" i="8"/>
  <c r="F82" i="8" s="1"/>
  <c r="E82" i="8" s="1"/>
  <c r="G83" i="8"/>
  <c r="F83" i="8" s="1"/>
  <c r="E83" i="8" s="1"/>
  <c r="G84" i="8"/>
  <c r="F84" i="8" s="1"/>
  <c r="E84" i="8" s="1"/>
  <c r="G85" i="8"/>
  <c r="F85" i="8" s="1"/>
  <c r="E85" i="8" s="1"/>
  <c r="G86" i="8"/>
  <c r="F86" i="8" s="1"/>
  <c r="E86" i="8" s="1"/>
  <c r="G87" i="8"/>
  <c r="F87" i="8" s="1"/>
  <c r="E87" i="8" s="1"/>
  <c r="G88" i="8"/>
  <c r="F88" i="8" s="1"/>
  <c r="E88" i="8" s="1"/>
  <c r="G89" i="8"/>
  <c r="F89" i="8" s="1"/>
  <c r="E89" i="8" s="1"/>
  <c r="G90" i="8"/>
  <c r="F90" i="8" s="1"/>
  <c r="E90" i="8" s="1"/>
  <c r="G91" i="8"/>
  <c r="F91" i="8" s="1"/>
  <c r="E91" i="8" s="1"/>
  <c r="G92" i="8"/>
  <c r="F92" i="8" s="1"/>
  <c r="E92" i="8" s="1"/>
  <c r="G93" i="8"/>
  <c r="F93" i="8" s="1"/>
  <c r="E93" i="8" s="1"/>
  <c r="G94" i="8"/>
  <c r="F94" i="8" s="1"/>
  <c r="E94" i="8" s="1"/>
  <c r="G95" i="8"/>
  <c r="F95" i="8" s="1"/>
  <c r="E95" i="8" s="1"/>
  <c r="G96" i="8"/>
  <c r="F96" i="8" s="1"/>
  <c r="E96" i="8" s="1"/>
  <c r="G97" i="8"/>
  <c r="F97" i="8" s="1"/>
  <c r="E97" i="8" s="1"/>
  <c r="G98" i="8"/>
  <c r="F98" i="8" s="1"/>
  <c r="E98" i="8" s="1"/>
  <c r="G99" i="8"/>
  <c r="F99" i="8" s="1"/>
  <c r="E99" i="8" s="1"/>
  <c r="G100" i="8"/>
  <c r="F100" i="8" s="1"/>
  <c r="E100" i="8" s="1"/>
  <c r="C51" i="8"/>
  <c r="B51" i="8" s="1"/>
  <c r="A51" i="8" s="1"/>
  <c r="C52" i="8"/>
  <c r="B52" i="8" s="1"/>
  <c r="A52" i="8" s="1"/>
  <c r="C53" i="8"/>
  <c r="B53" i="8" s="1"/>
  <c r="A53" i="8" s="1"/>
  <c r="C54" i="8"/>
  <c r="B54" i="8" s="1"/>
  <c r="A54" i="8" s="1"/>
  <c r="C55" i="8"/>
  <c r="B55" i="8" s="1"/>
  <c r="A55" i="8" s="1"/>
  <c r="C56" i="8"/>
  <c r="B56" i="8" s="1"/>
  <c r="A56" i="8" s="1"/>
  <c r="C57" i="8"/>
  <c r="B57" i="8" s="1"/>
  <c r="A57" i="8" s="1"/>
  <c r="C58" i="8"/>
  <c r="B58" i="8" s="1"/>
  <c r="A58" i="8" s="1"/>
  <c r="C59" i="8"/>
  <c r="B59" i="8" s="1"/>
  <c r="A59" i="8" s="1"/>
  <c r="C60" i="8"/>
  <c r="B60" i="8" s="1"/>
  <c r="A60" i="8" s="1"/>
  <c r="C61" i="8"/>
  <c r="B61" i="8" s="1"/>
  <c r="A61" i="8" s="1"/>
  <c r="C62" i="8"/>
  <c r="B62" i="8" s="1"/>
  <c r="A62" i="8" s="1"/>
  <c r="C63" i="8"/>
  <c r="B63" i="8" s="1"/>
  <c r="A63" i="8" s="1"/>
  <c r="C64" i="8"/>
  <c r="B64" i="8" s="1"/>
  <c r="A64" i="8" s="1"/>
  <c r="C65" i="8"/>
  <c r="B65" i="8" s="1"/>
  <c r="A65" i="8" s="1"/>
  <c r="C66" i="8"/>
  <c r="B66" i="8" s="1"/>
  <c r="A66" i="8" s="1"/>
  <c r="C67" i="8"/>
  <c r="B67" i="8" s="1"/>
  <c r="A67" i="8" s="1"/>
  <c r="C68" i="8"/>
  <c r="B68" i="8" s="1"/>
  <c r="A68" i="8" s="1"/>
  <c r="C69" i="8"/>
  <c r="B69" i="8" s="1"/>
  <c r="A69" i="8" s="1"/>
  <c r="C70" i="8"/>
  <c r="B70" i="8" s="1"/>
  <c r="A70" i="8" s="1"/>
  <c r="C71" i="8"/>
  <c r="B71" i="8" s="1"/>
  <c r="A71" i="8" s="1"/>
  <c r="C72" i="8"/>
  <c r="B72" i="8" s="1"/>
  <c r="A72" i="8" s="1"/>
  <c r="C73" i="8"/>
  <c r="B73" i="8" s="1"/>
  <c r="A73" i="8" s="1"/>
  <c r="C74" i="8"/>
  <c r="B74" i="8" s="1"/>
  <c r="A74" i="8" s="1"/>
  <c r="C75" i="8"/>
  <c r="B75" i="8" s="1"/>
  <c r="A75" i="8" s="1"/>
  <c r="C76" i="8"/>
  <c r="B76" i="8" s="1"/>
  <c r="A76" i="8" s="1"/>
  <c r="C77" i="8"/>
  <c r="B77" i="8" s="1"/>
  <c r="A77" i="8" s="1"/>
  <c r="C78" i="8"/>
  <c r="B78" i="8" s="1"/>
  <c r="A78" i="8" s="1"/>
  <c r="C79" i="8"/>
  <c r="B79" i="8" s="1"/>
  <c r="A79" i="8" s="1"/>
  <c r="C80" i="8"/>
  <c r="B80" i="8" s="1"/>
  <c r="A80" i="8" s="1"/>
  <c r="C81" i="8"/>
  <c r="B81" i="8" s="1"/>
  <c r="A81" i="8" s="1"/>
  <c r="C82" i="8"/>
  <c r="B82" i="8" s="1"/>
  <c r="A82" i="8" s="1"/>
  <c r="C83" i="8"/>
  <c r="B83" i="8" s="1"/>
  <c r="A83" i="8" s="1"/>
  <c r="C84" i="8"/>
  <c r="B84" i="8" s="1"/>
  <c r="A84" i="8" s="1"/>
  <c r="C85" i="8"/>
  <c r="B85" i="8" s="1"/>
  <c r="A85" i="8" s="1"/>
  <c r="C86" i="8"/>
  <c r="B86" i="8" s="1"/>
  <c r="A86" i="8" s="1"/>
  <c r="C87" i="8"/>
  <c r="B87" i="8" s="1"/>
  <c r="A87" i="8" s="1"/>
  <c r="C88" i="8"/>
  <c r="B88" i="8" s="1"/>
  <c r="A88" i="8" s="1"/>
  <c r="C89" i="8"/>
  <c r="B89" i="8" s="1"/>
  <c r="A89" i="8" s="1"/>
  <c r="C90" i="8"/>
  <c r="B90" i="8" s="1"/>
  <c r="A90" i="8" s="1"/>
  <c r="C91" i="8"/>
  <c r="B91" i="8" s="1"/>
  <c r="A91" i="8" s="1"/>
  <c r="C92" i="8"/>
  <c r="B92" i="8" s="1"/>
  <c r="A92" i="8" s="1"/>
  <c r="C93" i="8"/>
  <c r="B93" i="8" s="1"/>
  <c r="A93" i="8" s="1"/>
  <c r="C94" i="8"/>
  <c r="B94" i="8" s="1"/>
  <c r="A94" i="8" s="1"/>
  <c r="C95" i="8"/>
  <c r="B95" i="8" s="1"/>
  <c r="A95" i="8" s="1"/>
  <c r="C96" i="8"/>
  <c r="B96" i="8" s="1"/>
  <c r="A96" i="8" s="1"/>
  <c r="C97" i="8"/>
  <c r="B97" i="8" s="1"/>
  <c r="A97" i="8" s="1"/>
  <c r="C98" i="8"/>
  <c r="B98" i="8" s="1"/>
  <c r="A98" i="8" s="1"/>
  <c r="C99" i="8"/>
  <c r="B99" i="8" s="1"/>
  <c r="A99" i="8" s="1"/>
  <c r="C100" i="8"/>
  <c r="B100" i="8" s="1"/>
  <c r="A100" i="8" s="1"/>
  <c r="M6" i="3"/>
  <c r="G3" i="8"/>
  <c r="F3" i="8" s="1"/>
  <c r="E3" i="8" s="1"/>
  <c r="G4" i="8"/>
  <c r="F4" i="8" s="1"/>
  <c r="E4" i="8" s="1"/>
  <c r="G5" i="8"/>
  <c r="F5" i="8" s="1"/>
  <c r="E5" i="8" s="1"/>
  <c r="G6" i="8"/>
  <c r="F6" i="8" s="1"/>
  <c r="E6" i="8" s="1"/>
  <c r="G7" i="8"/>
  <c r="F7" i="8" s="1"/>
  <c r="E7" i="8" s="1"/>
  <c r="G8" i="8"/>
  <c r="F8" i="8" s="1"/>
  <c r="E8" i="8" s="1"/>
  <c r="G9" i="8"/>
  <c r="F9" i="8" s="1"/>
  <c r="E9" i="8" s="1"/>
  <c r="G10" i="8"/>
  <c r="F10" i="8" s="1"/>
  <c r="E10" i="8" s="1"/>
  <c r="G11" i="8"/>
  <c r="F11" i="8" s="1"/>
  <c r="E11" i="8" s="1"/>
  <c r="G12" i="8"/>
  <c r="F12" i="8" s="1"/>
  <c r="E12" i="8" s="1"/>
  <c r="G13" i="8"/>
  <c r="F13" i="8" s="1"/>
  <c r="E13" i="8" s="1"/>
  <c r="G14" i="8"/>
  <c r="F14" i="8" s="1"/>
  <c r="E14" i="8" s="1"/>
  <c r="G15" i="8"/>
  <c r="F15" i="8" s="1"/>
  <c r="E15" i="8" s="1"/>
  <c r="G16" i="8"/>
  <c r="F16" i="8" s="1"/>
  <c r="E16" i="8" s="1"/>
  <c r="G17" i="8"/>
  <c r="F17" i="8" s="1"/>
  <c r="E17" i="8" s="1"/>
  <c r="G18" i="8"/>
  <c r="F18" i="8" s="1"/>
  <c r="E18" i="8" s="1"/>
  <c r="G19" i="8"/>
  <c r="F19" i="8" s="1"/>
  <c r="E19" i="8" s="1"/>
  <c r="G20" i="8"/>
  <c r="F20" i="8" s="1"/>
  <c r="E20" i="8" s="1"/>
  <c r="G21" i="8"/>
  <c r="F21" i="8" s="1"/>
  <c r="E21" i="8" s="1"/>
  <c r="G22" i="8"/>
  <c r="F22" i="8" s="1"/>
  <c r="E22" i="8" s="1"/>
  <c r="G23" i="8"/>
  <c r="F23" i="8" s="1"/>
  <c r="E23" i="8" s="1"/>
  <c r="G24" i="8"/>
  <c r="F24" i="8" s="1"/>
  <c r="E24" i="8" s="1"/>
  <c r="G25" i="8"/>
  <c r="F25" i="8" s="1"/>
  <c r="E25" i="8" s="1"/>
  <c r="G26" i="8"/>
  <c r="F26" i="8" s="1"/>
  <c r="E26" i="8" s="1"/>
  <c r="G27" i="8"/>
  <c r="F27" i="8" s="1"/>
  <c r="E27" i="8" s="1"/>
  <c r="G28" i="8"/>
  <c r="F28" i="8" s="1"/>
  <c r="E28" i="8" s="1"/>
  <c r="G29" i="8"/>
  <c r="F29" i="8" s="1"/>
  <c r="E29" i="8" s="1"/>
  <c r="G30" i="8"/>
  <c r="F30" i="8" s="1"/>
  <c r="E30" i="8" s="1"/>
  <c r="G31" i="8"/>
  <c r="F31" i="8" s="1"/>
  <c r="E31" i="8" s="1"/>
  <c r="G32" i="8"/>
  <c r="F32" i="8" s="1"/>
  <c r="E32" i="8" s="1"/>
  <c r="G33" i="8"/>
  <c r="F33" i="8" s="1"/>
  <c r="E33" i="8" s="1"/>
  <c r="G34" i="8"/>
  <c r="F34" i="8" s="1"/>
  <c r="E34" i="8" s="1"/>
  <c r="G35" i="8"/>
  <c r="F35" i="8" s="1"/>
  <c r="E35" i="8" s="1"/>
  <c r="G36" i="8"/>
  <c r="F36" i="8" s="1"/>
  <c r="E36" i="8" s="1"/>
  <c r="G37" i="8"/>
  <c r="F37" i="8" s="1"/>
  <c r="E37" i="8" s="1"/>
  <c r="G38" i="8"/>
  <c r="F38" i="8" s="1"/>
  <c r="E38" i="8" s="1"/>
  <c r="G39" i="8"/>
  <c r="F39" i="8" s="1"/>
  <c r="E39" i="8" s="1"/>
  <c r="G40" i="8"/>
  <c r="F40" i="8" s="1"/>
  <c r="E40" i="8" s="1"/>
  <c r="G41" i="8"/>
  <c r="F41" i="8" s="1"/>
  <c r="E41" i="8" s="1"/>
  <c r="G42" i="8"/>
  <c r="F42" i="8" s="1"/>
  <c r="E42" i="8" s="1"/>
  <c r="G43" i="8"/>
  <c r="F43" i="8" s="1"/>
  <c r="E43" i="8" s="1"/>
  <c r="G44" i="8"/>
  <c r="F44" i="8" s="1"/>
  <c r="E44" i="8" s="1"/>
  <c r="G45" i="8"/>
  <c r="F45" i="8" s="1"/>
  <c r="E45" i="8" s="1"/>
  <c r="G46" i="8"/>
  <c r="F46" i="8" s="1"/>
  <c r="E46" i="8" s="1"/>
  <c r="G47" i="8"/>
  <c r="F47" i="8" s="1"/>
  <c r="E47" i="8" s="1"/>
  <c r="G48" i="8"/>
  <c r="F48" i="8" s="1"/>
  <c r="E48" i="8" s="1"/>
  <c r="G49" i="8"/>
  <c r="F49" i="8" s="1"/>
  <c r="E49" i="8" s="1"/>
  <c r="G50" i="8"/>
  <c r="F50" i="8" s="1"/>
  <c r="E50" i="8" s="1"/>
  <c r="G2" i="8"/>
  <c r="F2" i="8" s="1"/>
  <c r="E2" i="8" s="1"/>
  <c r="C3" i="8"/>
  <c r="B3" i="8" s="1"/>
  <c r="A3" i="8" s="1"/>
  <c r="C4" i="8"/>
  <c r="B4" i="8" s="1"/>
  <c r="A4" i="8" s="1"/>
  <c r="C5" i="8"/>
  <c r="B5" i="8" s="1"/>
  <c r="A5" i="8" s="1"/>
  <c r="C6" i="8"/>
  <c r="B6" i="8" s="1"/>
  <c r="A6" i="8" s="1"/>
  <c r="C7" i="8"/>
  <c r="B7" i="8" s="1"/>
  <c r="A7" i="8" s="1"/>
  <c r="C8" i="8"/>
  <c r="B8" i="8" s="1"/>
  <c r="A8" i="8" s="1"/>
  <c r="C9" i="8"/>
  <c r="B9" i="8" s="1"/>
  <c r="A9" i="8" s="1"/>
  <c r="C10" i="8"/>
  <c r="B10" i="8" s="1"/>
  <c r="A10" i="8" s="1"/>
  <c r="C11" i="8"/>
  <c r="B11" i="8" s="1"/>
  <c r="A11" i="8" s="1"/>
  <c r="C12" i="8"/>
  <c r="B12" i="8" s="1"/>
  <c r="A12" i="8" s="1"/>
  <c r="C13" i="8"/>
  <c r="B13" i="8" s="1"/>
  <c r="A13" i="8" s="1"/>
  <c r="C14" i="8"/>
  <c r="B14" i="8" s="1"/>
  <c r="A14" i="8" s="1"/>
  <c r="C15" i="8"/>
  <c r="B15" i="8" s="1"/>
  <c r="A15" i="8" s="1"/>
  <c r="C16" i="8"/>
  <c r="C17" i="8"/>
  <c r="B17" i="8" s="1"/>
  <c r="A17" i="8" s="1"/>
  <c r="C18" i="8"/>
  <c r="B18" i="8" s="1"/>
  <c r="A18" i="8" s="1"/>
  <c r="C19" i="8"/>
  <c r="B19" i="8" s="1"/>
  <c r="A19" i="8" s="1"/>
  <c r="C20" i="8"/>
  <c r="B20" i="8" s="1"/>
  <c r="A20" i="8" s="1"/>
  <c r="C21" i="8"/>
  <c r="B21" i="8" s="1"/>
  <c r="A21" i="8" s="1"/>
  <c r="C22" i="8"/>
  <c r="B22" i="8" s="1"/>
  <c r="A22" i="8" s="1"/>
  <c r="C23" i="8"/>
  <c r="B23" i="8" s="1"/>
  <c r="A23" i="8" s="1"/>
  <c r="C24" i="8"/>
  <c r="B24" i="8" s="1"/>
  <c r="A24" i="8" s="1"/>
  <c r="C25" i="8"/>
  <c r="B25" i="8" s="1"/>
  <c r="A25" i="8" s="1"/>
  <c r="C26" i="8"/>
  <c r="B26" i="8" s="1"/>
  <c r="A26" i="8" s="1"/>
  <c r="C27" i="8"/>
  <c r="B27" i="8" s="1"/>
  <c r="A27" i="8" s="1"/>
  <c r="C28" i="8"/>
  <c r="B28" i="8" s="1"/>
  <c r="A28" i="8" s="1"/>
  <c r="C29" i="8"/>
  <c r="B29" i="8" s="1"/>
  <c r="A29" i="8" s="1"/>
  <c r="C30" i="8"/>
  <c r="B30" i="8" s="1"/>
  <c r="A30" i="8" s="1"/>
  <c r="C31" i="8"/>
  <c r="B31" i="8" s="1"/>
  <c r="A31" i="8" s="1"/>
  <c r="C32" i="8"/>
  <c r="B32" i="8" s="1"/>
  <c r="A32" i="8" s="1"/>
  <c r="C33" i="8"/>
  <c r="B33" i="8" s="1"/>
  <c r="A33" i="8" s="1"/>
  <c r="C34" i="8"/>
  <c r="B34" i="8" s="1"/>
  <c r="A34" i="8" s="1"/>
  <c r="C35" i="8"/>
  <c r="B35" i="8" s="1"/>
  <c r="A35" i="8" s="1"/>
  <c r="C36" i="8"/>
  <c r="B36" i="8" s="1"/>
  <c r="A36" i="8" s="1"/>
  <c r="C37" i="8"/>
  <c r="B37" i="8" s="1"/>
  <c r="A37" i="8" s="1"/>
  <c r="C38" i="8"/>
  <c r="B38" i="8" s="1"/>
  <c r="A38" i="8" s="1"/>
  <c r="C39" i="8"/>
  <c r="B39" i="8" s="1"/>
  <c r="A39" i="8" s="1"/>
  <c r="C40" i="8"/>
  <c r="B40" i="8" s="1"/>
  <c r="A40" i="8" s="1"/>
  <c r="C41" i="8"/>
  <c r="B41" i="8" s="1"/>
  <c r="A41" i="8" s="1"/>
  <c r="C42" i="8"/>
  <c r="B42" i="8" s="1"/>
  <c r="A42" i="8" s="1"/>
  <c r="C43" i="8"/>
  <c r="B43" i="8" s="1"/>
  <c r="A43" i="8" s="1"/>
  <c r="C44" i="8"/>
  <c r="B44" i="8" s="1"/>
  <c r="A44" i="8" s="1"/>
  <c r="C45" i="8"/>
  <c r="B45" i="8" s="1"/>
  <c r="A45" i="8" s="1"/>
  <c r="C46" i="8"/>
  <c r="B46" i="8" s="1"/>
  <c r="A46" i="8" s="1"/>
  <c r="C47" i="8"/>
  <c r="B47" i="8" s="1"/>
  <c r="A47" i="8" s="1"/>
  <c r="C48" i="8"/>
  <c r="B48" i="8" s="1"/>
  <c r="A48" i="8" s="1"/>
  <c r="C49" i="8"/>
  <c r="B49" i="8" s="1"/>
  <c r="A49" i="8" s="1"/>
  <c r="C50" i="8"/>
  <c r="B50" i="8" s="1"/>
  <c r="A50" i="8" s="1"/>
  <c r="C2" i="8"/>
  <c r="Y5" i="3"/>
  <c r="G2" i="4"/>
  <c r="I7" i="3"/>
  <c r="H2" i="4" a="1"/>
  <c r="B16" i="8" l="1"/>
  <c r="A16" i="8" s="1"/>
  <c r="B2" i="8"/>
  <c r="A2" i="8" s="1"/>
  <c r="J5" i="3"/>
  <c r="S6" i="3"/>
  <c r="M7" i="3"/>
  <c r="H2" i="4"/>
  <c r="I2" i="4" a="1"/>
  <c r="Y6" i="3" l="1"/>
  <c r="S7" i="3"/>
  <c r="I2" i="4"/>
  <c r="J2" i="4" a="1"/>
  <c r="J6" i="3" l="1"/>
  <c r="Y7" i="3"/>
  <c r="J2" i="4"/>
  <c r="K2" i="4" a="1"/>
  <c r="J7" i="3" l="1"/>
  <c r="K2" i="4"/>
  <c r="L2" i="4" a="1"/>
  <c r="L2" i="4" l="1"/>
  <c r="M2" i="4" a="1"/>
  <c r="M2" i="4" l="1"/>
  <c r="N2" i="4" a="1"/>
  <c r="N2" i="4" l="1"/>
  <c r="O2" i="4" a="1"/>
  <c r="O2" i="4" l="1"/>
  <c r="P2" i="4" a="1"/>
  <c r="P2" i="4" l="1"/>
  <c r="Q2" i="4" a="1"/>
  <c r="Q2" i="4" l="1"/>
  <c r="R2" i="4" a="1"/>
  <c r="R2" i="4" l="1"/>
  <c r="S2" i="4" a="1"/>
  <c r="S2" i="4" l="1"/>
  <c r="T2" i="4" a="1"/>
  <c r="T2" i="4" l="1"/>
  <c r="U2" i="4" a="1"/>
  <c r="U2" i="4" l="1"/>
  <c r="V2" i="4" a="1"/>
  <c r="V2" i="4" l="1"/>
  <c r="W2" i="4" a="1"/>
  <c r="W2" i="4" l="1"/>
  <c r="X2" i="4" a="1"/>
  <c r="X2" i="4" l="1"/>
  <c r="Y2" i="4" a="1"/>
  <c r="Y2" i="4" l="1"/>
  <c r="Z2" i="4" a="1"/>
  <c r="Z2" i="4" l="1"/>
  <c r="AA2" i="4" a="1"/>
  <c r="AA2" i="4" l="1"/>
  <c r="AB2" i="4" a="1"/>
  <c r="AB2" i="4" l="1"/>
  <c r="AC2" i="4" a="1"/>
  <c r="AC2" i="4" l="1"/>
  <c r="AD2" i="4" a="1"/>
  <c r="AD2" i="4" l="1"/>
  <c r="AE2" i="4" a="1"/>
  <c r="AE2" i="4" l="1"/>
  <c r="AF2" i="4" a="1"/>
  <c r="AF2" i="4" l="1"/>
  <c r="AG2" i="4" a="1"/>
  <c r="AG2" i="4" l="1"/>
  <c r="AH2" i="4" a="1"/>
  <c r="AH2" i="4" l="1"/>
  <c r="AI2" i="4" a="1"/>
  <c r="AI2" i="4" l="1"/>
  <c r="AJ2" i="4" a="1"/>
  <c r="AJ2" i="4" l="1"/>
  <c r="AK2" i="4" a="1"/>
  <c r="AK2" i="4" l="1"/>
  <c r="AL2" i="4" a="1"/>
  <c r="AL2" i="4" l="1"/>
  <c r="AM2" i="4" a="1"/>
  <c r="AM2" i="4" l="1"/>
  <c r="AN2" i="4" a="1"/>
  <c r="AN2" i="4" l="1"/>
  <c r="AO2" i="4" a="1"/>
  <c r="AO2" i="4" l="1"/>
  <c r="AP2" i="4" a="1"/>
  <c r="AP2" i="4" l="1"/>
  <c r="AQ2" i="4" a="1"/>
  <c r="AQ2" i="4" l="1"/>
  <c r="AR2" i="4" a="1"/>
  <c r="AR2" i="4" l="1"/>
  <c r="AS2" i="4" a="1"/>
  <c r="AS2" i="4" l="1"/>
  <c r="AT2" i="4" a="1"/>
  <c r="AT2" i="4" l="1"/>
  <c r="AU2" i="4" a="1"/>
  <c r="AU2" i="4" l="1"/>
  <c r="AV2" i="4" a="1"/>
  <c r="AV2" i="4" l="1"/>
  <c r="AW2" i="4" a="1"/>
  <c r="AW2" i="4" l="1"/>
  <c r="AX2" i="4" a="1"/>
  <c r="AX2" i="4" l="1"/>
  <c r="AY2" i="4" a="1"/>
  <c r="AY2" i="4" l="1"/>
  <c r="AZ2" i="4" a="1"/>
  <c r="AZ2" i="4" l="1"/>
  <c r="BA2" i="4" a="1"/>
  <c r="BA2" i="4" l="1"/>
  <c r="BB2" i="4" a="1"/>
  <c r="BB2" i="4" l="1"/>
  <c r="BC2" i="4" a="1"/>
  <c r="BC2" i="4" l="1"/>
  <c r="BD2" i="4" a="1"/>
  <c r="BD2" i="4" l="1"/>
  <c r="BE2" i="4" a="1"/>
  <c r="BE2" i="4" l="1"/>
  <c r="BF2" i="4" a="1"/>
  <c r="BF2" i="4" l="1"/>
  <c r="BG2" i="4" a="1"/>
  <c r="BG2" i="4" l="1"/>
  <c r="BH2" i="4" a="1"/>
  <c r="BH2" i="4" l="1"/>
  <c r="BI2" i="4" a="1"/>
  <c r="BI2" i="4" l="1"/>
  <c r="BJ2" i="4" a="1"/>
  <c r="BJ2" i="4" l="1"/>
  <c r="BK2" i="4" a="1"/>
  <c r="BK2" i="4" l="1"/>
  <c r="BL2" i="4" a="1"/>
  <c r="BL2" i="4" l="1"/>
  <c r="BM2" i="4" a="1"/>
  <c r="BM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<sst xmlns="http://schemas.openxmlformats.org/spreadsheetml/2006/main" count="517" uniqueCount="278">
  <si>
    <t>Fixed Lists</t>
  </si>
  <si>
    <t>Fill in white cells only</t>
  </si>
  <si>
    <t>Phases</t>
  </si>
  <si>
    <t>Position</t>
  </si>
  <si>
    <t>Region</t>
  </si>
  <si>
    <t>Assign To</t>
  </si>
  <si>
    <t>Editing Reason</t>
  </si>
  <si>
    <t>Lisence Type</t>
  </si>
  <si>
    <t>Project Types</t>
  </si>
  <si>
    <t>تبدأ مرحلة الدراسة بعد توقيع العقد بـ .... أيام</t>
  </si>
  <si>
    <t>تبدأ مرحلة التصميم بعد اعتماد مرحلة الدراسة بـ .... أيام</t>
  </si>
  <si>
    <t>Holidays</t>
  </si>
  <si>
    <t>Phase</t>
  </si>
  <si>
    <t>Reply Reason</t>
  </si>
  <si>
    <t>Allowance Times</t>
  </si>
  <si>
    <t>Wieght (Reduction)</t>
  </si>
  <si>
    <t>Studies</t>
  </si>
  <si>
    <t>Head Dep</t>
  </si>
  <si>
    <t>Riyadh</t>
  </si>
  <si>
    <t>Client</t>
  </si>
  <si>
    <t>Devlopment</t>
  </si>
  <si>
    <t>Amanah</t>
  </si>
  <si>
    <t>Residential</t>
  </si>
  <si>
    <t xml:space="preserve">Client Modification </t>
  </si>
  <si>
    <t>Design</t>
  </si>
  <si>
    <t>Architect</t>
  </si>
  <si>
    <t>Cairo</t>
  </si>
  <si>
    <t>RCRC</t>
  </si>
  <si>
    <t>Internally</t>
  </si>
  <si>
    <t>TOD</t>
  </si>
  <si>
    <t>Commercial</t>
  </si>
  <si>
    <t>Client Modification (Exceptional)</t>
  </si>
  <si>
    <t>Technical</t>
  </si>
  <si>
    <t>Quality Control</t>
  </si>
  <si>
    <t>R.M</t>
  </si>
  <si>
    <t>KSR</t>
  </si>
  <si>
    <t>Offices</t>
  </si>
  <si>
    <t>Technical Mistake</t>
  </si>
  <si>
    <t>Interior Designer</t>
  </si>
  <si>
    <t>Govermental</t>
  </si>
  <si>
    <t>Mixed-Use</t>
  </si>
  <si>
    <t>...</t>
  </si>
  <si>
    <t>Draftsman</t>
  </si>
  <si>
    <t>SBF</t>
  </si>
  <si>
    <t>High Rise</t>
  </si>
  <si>
    <t>Engineering department head assistant</t>
  </si>
  <si>
    <t>Corridors</t>
  </si>
  <si>
    <t>Culture</t>
  </si>
  <si>
    <t>Team Leader</t>
  </si>
  <si>
    <t>Wadi Hanifa</t>
  </si>
  <si>
    <t>Religious</t>
  </si>
  <si>
    <t>Structural Designer</t>
  </si>
  <si>
    <t>Commercial Nerve</t>
  </si>
  <si>
    <t>Resort</t>
  </si>
  <si>
    <t>G.C Modification (Problems)</t>
  </si>
  <si>
    <t>Electrical Engineer</t>
  </si>
  <si>
    <t>TOD + KSC</t>
  </si>
  <si>
    <t>Educational</t>
  </si>
  <si>
    <t>G.C Modification (Opinion)</t>
  </si>
  <si>
    <t>General Manager</t>
  </si>
  <si>
    <t>Madinah</t>
  </si>
  <si>
    <t>Interior</t>
  </si>
  <si>
    <t>Qassim Amanah</t>
  </si>
  <si>
    <t>Governmental</t>
  </si>
  <si>
    <t>Other</t>
  </si>
  <si>
    <t>Others</t>
  </si>
  <si>
    <t>N/A</t>
  </si>
  <si>
    <t>Technical Mistake (Design Dep)</t>
  </si>
  <si>
    <t>Reviewing the G.C</t>
  </si>
  <si>
    <t>Projects List</t>
  </si>
  <si>
    <t>Study Phase</t>
  </si>
  <si>
    <t>Design Phase</t>
  </si>
  <si>
    <t>Technical Phase</t>
  </si>
  <si>
    <t>Project</t>
  </si>
  <si>
    <t>Contract Code</t>
  </si>
  <si>
    <t>Signing Contract Date</t>
  </si>
  <si>
    <t>BUA | M2</t>
  </si>
  <si>
    <t>Project Requirment</t>
  </si>
  <si>
    <t>Project Start Date | Contract</t>
  </si>
  <si>
    <t>Estimated End Date</t>
  </si>
  <si>
    <t>Stu. Team Leader</t>
  </si>
  <si>
    <t>Stu. Team Leader Working Percentage</t>
  </si>
  <si>
    <t>Stu. Start Date
| Contract</t>
  </si>
  <si>
    <t>Stu. Duration 
| Contract</t>
  </si>
  <si>
    <t>Stu. Allowed Modification (Times)</t>
  </si>
  <si>
    <t>Stu. Modification days per time</t>
  </si>
  <si>
    <t>Design Team Leader</t>
  </si>
  <si>
    <t>Design Team Leader Working Percentage</t>
  </si>
  <si>
    <t>Design. Start Date
| Contract</t>
  </si>
  <si>
    <t>Design Duration
| Contract</t>
  </si>
  <si>
    <t>Design Allowed Modification (Times)</t>
  </si>
  <si>
    <t>Design Modification days per time</t>
  </si>
  <si>
    <t>Tech. Team Leader</t>
  </si>
  <si>
    <t>Tech. Team Leader Working Percentage</t>
  </si>
  <si>
    <t>Tech. Start Date
| Contract</t>
  </si>
  <si>
    <t>Tech. Duration
| Contract</t>
  </si>
  <si>
    <t>Tech. Allowed Modification (Times)</t>
  </si>
  <si>
    <t>Tech. Modification days per time</t>
  </si>
  <si>
    <t>Stu. Cost %
| Contract Value</t>
  </si>
  <si>
    <t>Design Cost %
| Contract Value</t>
  </si>
  <si>
    <t>Tech. Cost %
| Contract Value</t>
  </si>
  <si>
    <t>Contract Value</t>
  </si>
  <si>
    <t>TeamLeader1</t>
  </si>
  <si>
    <t>TeamLeader2</t>
  </si>
  <si>
    <t>TeamLeader3</t>
  </si>
  <si>
    <t>Park View</t>
  </si>
  <si>
    <t>MOBTAKERON REAL ESTATE COMPANY</t>
  </si>
  <si>
    <t>REF.02.383</t>
  </si>
  <si>
    <t>https://docs.google.com/spreadsheets/d/12b3TkOQbtVg1zjgbLLWYiSykhTxYcu7Vy4ZGWosqG5E/edit?usp=sharing</t>
  </si>
  <si>
    <t>Riyadh Almaghrabi</t>
  </si>
  <si>
    <t>Details</t>
  </si>
  <si>
    <t>DETAILS REAL ESTATE COMPANY</t>
  </si>
  <si>
    <t>REF.02.387</t>
  </si>
  <si>
    <t>Jevan Tower</t>
  </si>
  <si>
    <t>MR. BANDAR BIN MOHAMMED AL MUSIRYIE</t>
  </si>
  <si>
    <t>REF.02.366</t>
  </si>
  <si>
    <t>Ghadeer AlAmoudi</t>
  </si>
  <si>
    <t>Al Hamra Mixed Use TOD Project</t>
  </si>
  <si>
    <t>Rabwa Al Omran Contracting Company</t>
  </si>
  <si>
    <t>REF.02.406</t>
  </si>
  <si>
    <t>KPIs Data</t>
  </si>
  <si>
    <t>KPIs Item</t>
  </si>
  <si>
    <t>Wieght</t>
  </si>
  <si>
    <t>Project Allowance Delay (Days)</t>
  </si>
  <si>
    <t>Wieght for 1 Day Delay (Reduction)</t>
  </si>
  <si>
    <t>Level</t>
  </si>
  <si>
    <t>Max</t>
  </si>
  <si>
    <t>Min</t>
  </si>
  <si>
    <t>Employee Delay</t>
  </si>
  <si>
    <t>A</t>
  </si>
  <si>
    <t>B</t>
  </si>
  <si>
    <t>C</t>
  </si>
  <si>
    <t>D</t>
  </si>
  <si>
    <t>E</t>
  </si>
  <si>
    <t>F</t>
  </si>
  <si>
    <t xml:space="preserve"> </t>
  </si>
  <si>
    <t xml:space="preserve">Tasks Durations (days)   </t>
  </si>
  <si>
    <t>Fill in white cells only.
Don't Leave Blank Rows.</t>
  </si>
  <si>
    <t>Check Phases Durations in Project List</t>
  </si>
  <si>
    <t>Code</t>
  </si>
  <si>
    <t xml:space="preserve">Task Discribtion </t>
  </si>
  <si>
    <t>Task for:</t>
  </si>
  <si>
    <t>Working on - Studies</t>
  </si>
  <si>
    <t>Internal</t>
  </si>
  <si>
    <t xml:space="preserve">ReWorking  - Studies </t>
  </si>
  <si>
    <t>ReWorking   - Studies (VO)</t>
  </si>
  <si>
    <t>Review and Comment - Studies</t>
  </si>
  <si>
    <t>Approved - Studies</t>
  </si>
  <si>
    <t>Working on - Design 25%</t>
  </si>
  <si>
    <t>ReWorking  - Design 25%</t>
  </si>
  <si>
    <t>ReWorking   - Design 25% (VO)</t>
  </si>
  <si>
    <t xml:space="preserve">Review and Comment - Design  25% </t>
  </si>
  <si>
    <t xml:space="preserve">Approved - Design 25% </t>
  </si>
  <si>
    <t>Working on - Design 50%</t>
  </si>
  <si>
    <t xml:space="preserve">ReWorking - Design 50% </t>
  </si>
  <si>
    <t>ReWorking - Design 50% (VO)</t>
  </si>
  <si>
    <t>Review and Comment - Design 50%</t>
  </si>
  <si>
    <t xml:space="preserve">Approved - Design 50% </t>
  </si>
  <si>
    <t>Working on - Design 75%</t>
  </si>
  <si>
    <t xml:space="preserve">ReWorking - Design 75% </t>
  </si>
  <si>
    <t>ReWorking - Design 75% (VO)</t>
  </si>
  <si>
    <t>Review and Comment - Design 75%</t>
  </si>
  <si>
    <t xml:space="preserve">Approved - Design 75% </t>
  </si>
  <si>
    <t>Working on - Design 100%</t>
  </si>
  <si>
    <t>ReWorking - Design 100%</t>
  </si>
  <si>
    <t>ReWorking - Design 100% (VO)</t>
  </si>
  <si>
    <t>Review and Comment - Design 100%</t>
  </si>
  <si>
    <t xml:space="preserve">Approved - Design 100% </t>
  </si>
  <si>
    <t xml:space="preserve">Issuing 1st to G.C </t>
  </si>
  <si>
    <t>Government</t>
  </si>
  <si>
    <t>Reissuing 1st to G.C</t>
  </si>
  <si>
    <t>Approval 1st - License</t>
  </si>
  <si>
    <t>Coordinate with Out-source</t>
  </si>
  <si>
    <t>Handover</t>
  </si>
  <si>
    <t>Working on - Development</t>
  </si>
  <si>
    <t>ReWorking - Development</t>
  </si>
  <si>
    <t>ReWorking - Development (VO)</t>
  </si>
  <si>
    <t>Review and Comment - Development</t>
  </si>
  <si>
    <t>Approval - Development</t>
  </si>
  <si>
    <t>Working on - License</t>
  </si>
  <si>
    <t>Issuing the license - R.M</t>
  </si>
  <si>
    <t>Reworking &amp; Issuing the license - R.M</t>
  </si>
  <si>
    <t>Approval the License - R.M</t>
  </si>
  <si>
    <t>Working on - D.D</t>
  </si>
  <si>
    <t>ReWorking - D.D (VO)</t>
  </si>
  <si>
    <t>Review and Comment - DD</t>
  </si>
  <si>
    <t>Approval - DD</t>
  </si>
  <si>
    <t>Working on 01 - BOQ</t>
  </si>
  <si>
    <t>ReWorking -  BOQ (VO)</t>
  </si>
  <si>
    <t>Review and Comment -  BOQ</t>
  </si>
  <si>
    <t>Approval -  BOQ</t>
  </si>
  <si>
    <t>Coordinate with Out-source.</t>
  </si>
  <si>
    <t>Client Tasks</t>
  </si>
  <si>
    <t>Government Tasks</t>
  </si>
  <si>
    <t>Employees Data</t>
  </si>
  <si>
    <t>Employee</t>
  </si>
  <si>
    <t>Emoployee's Cost
| Monthly</t>
  </si>
  <si>
    <t>Email</t>
  </si>
  <si>
    <t>Ahmed AL-Attas</t>
  </si>
  <si>
    <t xml:space="preserve">Abderrahmane Boukaiss </t>
  </si>
  <si>
    <t>a.boukaiss@cleardes.com</t>
  </si>
  <si>
    <t>Younes Al-Ammar</t>
  </si>
  <si>
    <t xml:space="preserve">Salman Fahad Mulhim </t>
  </si>
  <si>
    <t>s.almulhim@cleardes.com</t>
  </si>
  <si>
    <t>Abdulaziz Alsaqqaf</t>
  </si>
  <si>
    <t xml:space="preserve">Aamir Shahbaz </t>
  </si>
  <si>
    <t>aamir.shahbaz@cleardes.com</t>
  </si>
  <si>
    <t xml:space="preserve">Abdul Rahman </t>
  </si>
  <si>
    <t>a.rahman@cleardes.com</t>
  </si>
  <si>
    <t xml:space="preserve">Abdulaziz Al Saggaf </t>
  </si>
  <si>
    <t>abdulaziz@cleardes.com</t>
  </si>
  <si>
    <t>Rakan  Arrabea</t>
  </si>
  <si>
    <t xml:space="preserve">Abdulmohsin Bin Madhi </t>
  </si>
  <si>
    <t>binmadhi@cleardes.com</t>
  </si>
  <si>
    <t>Aljawharah Aldahmash</t>
  </si>
  <si>
    <t xml:space="preserve">Ahmed Al.Attas </t>
  </si>
  <si>
    <t>alattas@cleardes.com</t>
  </si>
  <si>
    <t>Majed Al-Shadokhi</t>
  </si>
  <si>
    <t xml:space="preserve">Ahmed Sharara </t>
  </si>
  <si>
    <t>a.sharara@cleardes.com</t>
  </si>
  <si>
    <t>Mohamed shaldoum</t>
  </si>
  <si>
    <t xml:space="preserve">Al Jawharah Aldahmash </t>
  </si>
  <si>
    <t>a.aldahmash@cleardes.com</t>
  </si>
  <si>
    <t>ahmed sharara</t>
  </si>
  <si>
    <t xml:space="preserve">Badr Mohammed Alrubie </t>
  </si>
  <si>
    <t>b.alrubie@cleardes.com</t>
  </si>
  <si>
    <t>Bader  Alribi</t>
  </si>
  <si>
    <t xml:space="preserve">Ghadeer Alamoudi </t>
  </si>
  <si>
    <t>ghadeer@cleardes.com</t>
  </si>
  <si>
    <t>Ummer Abdulmajeed</t>
  </si>
  <si>
    <t xml:space="preserve">Islam Mohammed </t>
  </si>
  <si>
    <t>islam@cleardes.com</t>
  </si>
  <si>
    <t>Muath Jumayah</t>
  </si>
  <si>
    <t xml:space="preserve">Jayson Bautista </t>
  </si>
  <si>
    <t>jayson@cleardes.com</t>
  </si>
  <si>
    <t>Basem  Osman</t>
  </si>
  <si>
    <t xml:space="preserve">Mohammad Al Sharabi </t>
  </si>
  <si>
    <t>m.alsharabi@cleardes.com</t>
  </si>
  <si>
    <t>Abdullah  Alrahmah</t>
  </si>
  <si>
    <t xml:space="preserve">Mohammed Al Attar </t>
  </si>
  <si>
    <t>attar@cleardes.com</t>
  </si>
  <si>
    <t>Nouf shahbal</t>
  </si>
  <si>
    <t>Nawaf Al Turaif</t>
  </si>
  <si>
    <t xml:space="preserve">Muhamed Faisal </t>
  </si>
  <si>
    <t>m.faisal@cleardes.com</t>
  </si>
  <si>
    <t>Salman Mulhim</t>
  </si>
  <si>
    <t>Abdulrahman Bukees</t>
  </si>
  <si>
    <t>Omar  Nada</t>
  </si>
  <si>
    <t>Ahmed Mahmoud</t>
  </si>
  <si>
    <t xml:space="preserve">Muna` Ahmed </t>
  </si>
  <si>
    <t>muna@cleardes.com</t>
  </si>
  <si>
    <t>Satam Bahtab</t>
  </si>
  <si>
    <t xml:space="preserve">Oday Bassam </t>
  </si>
  <si>
    <t>oday@cleardes.com</t>
  </si>
  <si>
    <t>Muhammad Alsharabi</t>
  </si>
  <si>
    <t xml:space="preserve">Omar Majdi </t>
  </si>
  <si>
    <t>o.majdi@cleardes.com</t>
  </si>
  <si>
    <t>Abdulmahsen Madhi</t>
  </si>
  <si>
    <t xml:space="preserve">Omer Osman </t>
  </si>
  <si>
    <t>omer.osman@cleardes.com</t>
  </si>
  <si>
    <t>Jayson Bautista</t>
  </si>
  <si>
    <t xml:space="preserve">Rakan Arrabea </t>
  </si>
  <si>
    <t>r.arrabea@cleardes.com</t>
  </si>
  <si>
    <t>Mohammed Al-Attar</t>
  </si>
  <si>
    <t xml:space="preserve">Riyadh Al Maghrabi </t>
  </si>
  <si>
    <t>riyadh@cleardes.com</t>
  </si>
  <si>
    <t>Odai Souliman</t>
  </si>
  <si>
    <t xml:space="preserve">Yonas ALammar </t>
  </si>
  <si>
    <t>yonas@cleardes.com</t>
  </si>
  <si>
    <t>Omar Darrar</t>
  </si>
  <si>
    <t>Aamir Ahmad</t>
  </si>
  <si>
    <t>Islam Abdelati</t>
  </si>
  <si>
    <t>Muna Mubarak</t>
  </si>
  <si>
    <t>Abdulrahman  Mohammed</t>
  </si>
  <si>
    <t>Ahmed Marrwa Marrwa</t>
  </si>
  <si>
    <t>Abdulelah Alforih</t>
  </si>
  <si>
    <t>Abdulaziz  Aljanobi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</si>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</sst>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\ [$ر.س.‏-401]"/>
  </numFmts>
  <fonts count="25" x14ac:knownFonts="1"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scheme val="minor"/>
    </font>
    <font>
      <b/>
      <sz val="11"/>
      <color theme="5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0"/>
      <name val="Arial"/>
      <scheme val="minor"/>
    </font>
    <font>
      <sz val="11"/>
      <color rgb="FF000000"/>
      <name val="Sakkal Majalla"/>
    </font>
    <font>
      <sz val="11"/>
      <color theme="0" tint="-4.9989318521683403E-2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color theme="0" tint="-4.9989318521683403E-2"/>
      <name val="Arial"/>
      <family val="2"/>
      <scheme val="minor"/>
    </font>
    <font>
      <b/>
      <sz val="26"/>
      <color theme="0"/>
      <name val="Arial"/>
      <scheme val="minor"/>
    </font>
    <font>
      <sz val="11"/>
      <color rgb="FF242424"/>
      <name val="Aptos Narrow"/>
      <charset val="1"/>
    </font>
    <font>
      <sz val="11"/>
      <color theme="5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5" tint="-0.249977111117893"/>
      <name val="Arial"/>
      <family val="2"/>
      <scheme val="minor"/>
    </font>
    <font>
      <b/>
      <sz val="11"/>
      <color theme="1"/>
      <name val="Sakkal Majalla"/>
    </font>
    <font>
      <b/>
      <sz val="11"/>
      <color rgb="FF000000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dotted">
        <color theme="0"/>
      </left>
      <right style="dotted">
        <color theme="0"/>
      </right>
      <top style="thin">
        <color indexed="64"/>
      </top>
      <bottom style="dotted">
        <color indexed="64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theme="0"/>
      </bottom>
      <diagonal/>
    </border>
    <border>
      <left style="dotted">
        <color theme="0"/>
      </left>
      <right style="dotted">
        <color theme="0"/>
      </right>
      <top/>
      <bottom style="dott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5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7" fillId="3" borderId="1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12" xfId="0" applyBorder="1"/>
    <xf numFmtId="0" fontId="0" fillId="0" borderId="11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2" fillId="2" borderId="0" xfId="1" applyNumberFormat="1" applyFill="1"/>
    <xf numFmtId="0" fontId="0" fillId="4" borderId="0" xfId="0" applyFill="1"/>
    <xf numFmtId="0" fontId="0" fillId="0" borderId="11" xfId="0" applyBorder="1"/>
    <xf numFmtId="0" fontId="0" fillId="0" borderId="11" xfId="0" applyBorder="1" applyAlignment="1">
      <alignment wrapText="1"/>
    </xf>
    <xf numFmtId="0" fontId="10" fillId="0" borderId="5" xfId="0" applyFont="1" applyBorder="1"/>
    <xf numFmtId="0" fontId="11" fillId="5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164" fontId="0" fillId="2" borderId="0" xfId="0" applyNumberForma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1" applyFill="1" applyBorder="1"/>
    <xf numFmtId="0" fontId="2" fillId="0" borderId="0" xfId="1" applyFill="1"/>
    <xf numFmtId="164" fontId="0" fillId="2" borderId="0" xfId="0" applyNumberFormat="1" applyFill="1"/>
    <xf numFmtId="0" fontId="13" fillId="2" borderId="0" xfId="0" applyFont="1" applyFill="1"/>
    <xf numFmtId="0" fontId="9" fillId="2" borderId="3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2" borderId="0" xfId="0" applyFont="1" applyFill="1"/>
    <xf numFmtId="0" fontId="10" fillId="0" borderId="17" xfId="0" applyFont="1" applyBorder="1"/>
    <xf numFmtId="0" fontId="10" fillId="0" borderId="18" xfId="0" applyFon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6" fillId="11" borderId="0" xfId="0" applyFont="1" applyFill="1" applyAlignment="1">
      <alignment horizontal="center" vertical="center" wrapText="1"/>
    </xf>
    <xf numFmtId="0" fontId="0" fillId="5" borderId="0" xfId="0" applyFill="1"/>
    <xf numFmtId="0" fontId="11" fillId="5" borderId="21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17" fillId="2" borderId="0" xfId="0" applyFont="1" applyFill="1" applyAlignment="1">
      <alignment wrapText="1"/>
    </xf>
    <xf numFmtId="0" fontId="15" fillId="5" borderId="20" xfId="0" applyFont="1" applyFill="1" applyBorder="1" applyAlignment="1">
      <alignment vertical="center"/>
    </xf>
    <xf numFmtId="0" fontId="0" fillId="0" borderId="24" xfId="0" applyBorder="1"/>
    <xf numFmtId="0" fontId="5" fillId="2" borderId="2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15" fillId="5" borderId="0" xfId="0" applyFont="1" applyFill="1" applyAlignment="1">
      <alignment vertical="center"/>
    </xf>
    <xf numFmtId="9" fontId="23" fillId="2" borderId="0" xfId="0" applyNumberFormat="1" applyFont="1" applyFill="1" applyAlignment="1">
      <alignment horizontal="center"/>
    </xf>
    <xf numFmtId="0" fontId="24" fillId="2" borderId="36" xfId="0" applyFont="1" applyFill="1" applyBorder="1" applyAlignment="1">
      <alignment horizontal="center"/>
    </xf>
    <xf numFmtId="0" fontId="24" fillId="2" borderId="37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8" xfId="0" applyFont="1" applyFill="1" applyBorder="1"/>
    <xf numFmtId="0" fontId="1" fillId="0" borderId="28" xfId="0" applyFont="1" applyBorder="1"/>
    <xf numFmtId="0" fontId="1" fillId="2" borderId="29" xfId="0" applyFont="1" applyFill="1" applyBorder="1"/>
    <xf numFmtId="0" fontId="1" fillId="0" borderId="29" xfId="0" applyFont="1" applyBorder="1"/>
    <xf numFmtId="164" fontId="1" fillId="0" borderId="29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9" fontId="1" fillId="0" borderId="35" xfId="0" applyNumberFormat="1" applyFont="1" applyBorder="1" applyAlignment="1">
      <alignment horizontal="center"/>
    </xf>
    <xf numFmtId="0" fontId="1" fillId="2" borderId="26" xfId="0" applyFont="1" applyFill="1" applyBorder="1"/>
    <xf numFmtId="0" fontId="1" fillId="0" borderId="26" xfId="0" applyFont="1" applyBorder="1"/>
    <xf numFmtId="0" fontId="1" fillId="2" borderId="27" xfId="0" applyFont="1" applyFill="1" applyBorder="1"/>
    <xf numFmtId="0" fontId="1" fillId="2" borderId="24" xfId="0" applyFont="1" applyFill="1" applyBorder="1"/>
    <xf numFmtId="0" fontId="1" fillId="0" borderId="24" xfId="0" applyFont="1" applyBorder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1" fillId="2" borderId="25" xfId="0" applyFont="1" applyFill="1" applyBorder="1"/>
    <xf numFmtId="0" fontId="1" fillId="0" borderId="27" xfId="0" applyFont="1" applyBorder="1"/>
    <xf numFmtId="0" fontId="1" fillId="0" borderId="25" xfId="0" applyFont="1" applyBorder="1"/>
    <xf numFmtId="164" fontId="1" fillId="0" borderId="25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5" borderId="20" xfId="0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164" fontId="1" fillId="2" borderId="0" xfId="0" applyNumberFormat="1" applyFont="1" applyFill="1"/>
    <xf numFmtId="164" fontId="1" fillId="2" borderId="0" xfId="0" applyNumberFormat="1" applyFont="1" applyFill="1" applyAlignment="1">
      <alignment wrapText="1"/>
    </xf>
    <xf numFmtId="14" fontId="1" fillId="0" borderId="0" xfId="0" applyNumberFormat="1" applyFont="1"/>
    <xf numFmtId="9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9" fontId="1" fillId="2" borderId="0" xfId="0" applyNumberFormat="1" applyFont="1" applyFill="1" applyAlignment="1">
      <alignment horizontal="center"/>
    </xf>
    <xf numFmtId="0" fontId="1" fillId="0" borderId="24" xfId="0" applyFont="1" applyBorder="1" applyAlignment="1">
      <alignment wrapText="1"/>
    </xf>
    <xf numFmtId="0" fontId="0" fillId="2" borderId="22" xfId="0" applyFill="1" applyBorder="1"/>
    <xf numFmtId="0" fontId="0" fillId="11" borderId="22" xfId="0" applyFill="1" applyBorder="1"/>
    <xf numFmtId="0" fontId="5" fillId="2" borderId="4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38" xfId="0" applyFont="1" applyBorder="1"/>
    <xf numFmtId="0" fontId="4" fillId="2" borderId="4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10" fillId="11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0" fillId="11" borderId="0" xfId="0" applyFill="1"/>
    <xf numFmtId="0" fontId="0" fillId="2" borderId="16" xfId="0" applyFill="1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 wrapText="1"/>
    </xf>
    <xf numFmtId="2" fontId="3" fillId="2" borderId="0" xfId="0" applyNumberFormat="1" applyFont="1" applyFill="1"/>
    <xf numFmtId="2" fontId="1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/>
    <xf numFmtId="2" fontId="1" fillId="2" borderId="0" xfId="0" applyNumberFormat="1" applyFont="1" applyFill="1"/>
    <xf numFmtId="0" fontId="0" fillId="9" borderId="0" xfId="0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44" xfId="0" applyFill="1" applyBorder="1" applyAlignment="1">
      <alignment horizontal="center" vertical="center"/>
    </xf>
    <xf numFmtId="0" fontId="22" fillId="6" borderId="44" xfId="0" applyFont="1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22" fillId="9" borderId="44" xfId="0" applyFont="1" applyFill="1" applyBorder="1" applyAlignment="1">
      <alignment horizontal="center" vertical="center"/>
    </xf>
    <xf numFmtId="0" fontId="22" fillId="0" borderId="44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0" fillId="9" borderId="19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/>
    </xf>
    <xf numFmtId="0" fontId="10" fillId="9" borderId="45" xfId="0" applyFont="1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10" fillId="10" borderId="45" xfId="0" applyFont="1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10" fillId="12" borderId="45" xfId="0" applyFont="1" applyFill="1" applyBorder="1" applyAlignment="1">
      <alignment horizontal="center"/>
    </xf>
    <xf numFmtId="0" fontId="0" fillId="12" borderId="45" xfId="0" applyFill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16" fillId="11" borderId="20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5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58">
    <dxf>
      <font>
        <color theme="0" tint="-4.9989318521683403E-2"/>
      </font>
    </dxf>
    <dxf>
      <font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alignment horizontal="center" vertical="center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dd/mm/yyyy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yyyy\-mm\-dd;@"/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990600</xdr:colOff>
      <xdr:row>0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9BB0A-75BB-465D-96F5-B4BBAA91C5FB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76200"/>
          <a:ext cx="923925" cy="180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85725</xdr:rowOff>
    </xdr:from>
    <xdr:to>
      <xdr:col>0</xdr:col>
      <xdr:colOff>1428750</xdr:colOff>
      <xdr:row>2</xdr:row>
      <xdr:rowOff>352425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4C53B-2433-498D-A7E4-75B4329C5934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5725"/>
          <a:ext cx="1352550" cy="26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1</xdr:col>
      <xdr:colOff>771525</xdr:colOff>
      <xdr:row>0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F6098-1EAA-4D99-916A-756D76B8CA20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923925" cy="180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942975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820AE-EFA3-4825-9CF2-85AFA9D7A827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5725"/>
          <a:ext cx="923925" cy="180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333375</xdr:colOff>
      <xdr:row>0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BB494-7465-4461-A7A1-44A6AFCF1083}"/>
            </a:ext>
            <a:ext uri="{147F2762-F138-4A5C-976F-8EAC2B608ADB}">
              <a16:predDERef xmlns:a16="http://schemas.microsoft.com/office/drawing/2014/main" pred="{00000000-0008-0000-0000-000042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04775"/>
          <a:ext cx="923925" cy="180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B22CF3-B037-48B9-AB9E-1CDF0203E82A}" name="الجدول1" displayName="الجدول1" ref="A4:AI205" totalsRowShown="0" headerRowDxfId="57" dataDxfId="56">
  <autoFilter ref="A4:AI205" xr:uid="{BAB22CF3-B037-48B9-AB9E-1CDF0203E82A}"/>
  <tableColumns count="35">
    <tableColumn id="1" xr3:uid="{ADA271C5-58E9-497F-B86C-ED30F44A2CE1}" name="Project" dataDxfId="55"/>
    <tableColumn id="2" xr3:uid="{86D9EE4B-22F8-4FC2-A255-0CDFC33913B9}" name="Client" dataDxfId="54"/>
    <tableColumn id="3" xr3:uid="{7C99593D-32F2-47E2-9169-3AD89DF310E7}" name="Contract Code" dataDxfId="53"/>
    <tableColumn id="21" xr3:uid="{291C7A27-1B5D-4A25-B31E-0D9177AEA280}" name="Signing Contract Date" dataDxfId="52"/>
    <tableColumn id="4" xr3:uid="{406D69C6-1A89-454F-8DD9-7E6566E4CAF7}" name="BUA | M2" dataDxfId="51"/>
    <tableColumn id="5" xr3:uid="{57C2774D-5CAB-4E16-B6A9-98F952DD5BC9}" name="Lisence Type" dataDxfId="50"/>
    <tableColumn id="6" xr3:uid="{D578E64F-A526-459E-8F71-DE1179B598EB}" name="Project Types" dataDxfId="49"/>
    <tableColumn id="7" xr3:uid="{3361C91B-965F-4E0F-B5F2-8D8B5FF1ADD5}" name="Project Requirment" dataDxfId="48"/>
    <tableColumn id="8" xr3:uid="{37ECD78F-CE6E-4F7F-80D7-BF341E260D2D}" name="Project Start Date | Contract" dataDxfId="47">
      <calculatedColumnFormula>IF(الجدول1[[#This Row],[Signing Contract Date]]=0,0,WORKDAY.INTL(الجدول1[[#This Row],[Signing Contract Date]],List!$J$4,7,List!$M$3:$M$100))</calculatedColumnFormula>
    </tableColumn>
    <tableColumn id="9" xr3:uid="{BD87A2FF-0A03-4D01-8F59-803A51FC17A0}" name="Estimated End Date" dataDxfId="46">
      <calculatedColumnFormula>IF(Z5=0,0,WORKDAY.INTL(Y5,Z5+(AA5*AB5),7,List!$M$3:$M$100))</calculatedColumnFormula>
    </tableColumn>
    <tableColumn id="22" xr3:uid="{3FA341EA-5108-4A37-AC06-8E5DEF715BDB}" name="Stu. Team Leader" dataDxfId="45"/>
    <tableColumn id="19" xr3:uid="{1A5457C3-44E0-47C6-8FA0-331DBE511E60}" name="Stu. Team Leader Working Percentage" dataDxfId="44"/>
    <tableColumn id="31" xr3:uid="{BB9B8E38-7B05-4ECD-9B49-9E27140588E1}" name="Stu. Start Date_x000a_| Contract" dataDxfId="43">
      <calculatedColumnFormula>الجدول1[[#This Row],[Project Start Date | Contract]]</calculatedColumnFormula>
    </tableColumn>
    <tableColumn id="10" xr3:uid="{F2F274AD-E5FF-4279-9C48-950492503623}" name="Stu. Duration _x000a_| Contract" dataDxfId="42"/>
    <tableColumn id="11" xr3:uid="{ACCAFDFF-EB51-4712-AC9A-611F0F8E844C}" name="Stu. Allowed Modification (Times)" dataDxfId="41"/>
    <tableColumn id="12" xr3:uid="{67D40C42-5E6F-4C90-814B-2A7243565FF4}" name="Stu. Modification days per time" dataDxfId="40"/>
    <tableColumn id="26" xr3:uid="{B221F4C0-5A61-4002-8494-FD4BC90F8661}" name="Design Team Leader" dataDxfId="39"/>
    <tableColumn id="20" xr3:uid="{F4EA09B9-B664-435D-92BF-BBD9702C8F45}" name="Design Team Leader Working Percentage" dataDxfId="38"/>
    <tableColumn id="32" xr3:uid="{69881A1D-C4F1-4B57-BB05-C02620575BFB}" name="Design. Start Date_x000a_| Contract" dataDxfId="37">
      <calculatedColumnFormula>IF(M5=0,0, WORKDAY.INTL( WORKDAY.INTL(M5,N5+(O5*P5),7,List!$M$3:$M$100),List!$K$4,7,List!$M$3:$M$100))</calculatedColumnFormula>
    </tableColumn>
    <tableColumn id="13" xr3:uid="{8BAD755E-A735-4359-8DE1-8ED598011A27}" name="Design Duration_x000a_| Contract" dataDxfId="36"/>
    <tableColumn id="14" xr3:uid="{705ACE4B-3244-49F6-8B49-73A004FC7B42}" name="Design Allowed Modification (Times)" dataDxfId="35"/>
    <tableColumn id="15" xr3:uid="{3A9343E0-F7E4-4927-BACF-99C4CCFA3203}" name="Design Modification days per time" dataDxfId="34"/>
    <tableColumn id="30" xr3:uid="{8E4B7198-6736-4ED6-BCCA-F4C91CC6083C}" name="Tech. Team Leader" dataDxfId="33"/>
    <tableColumn id="23" xr3:uid="{E78BE243-0439-448D-9152-8C034E5E75D1}" name="Tech. Team Leader Working Percentage" dataDxfId="32"/>
    <tableColumn id="33" xr3:uid="{4DED9EFC-C275-410D-A8BA-338E43EE55A7}" name="Tech. Start Date_x000a_| Contract" dataDxfId="31">
      <calculatedColumnFormula>IF(S5=0,0,WORKDAY.INTL(S5,T5+(U5*V5),7,List!$M$3:$M$100))</calculatedColumnFormula>
    </tableColumn>
    <tableColumn id="16" xr3:uid="{5878C9F8-1EC1-402A-82B9-F09C9EB3618B}" name="Tech. Duration_x000a_| Contract" dataDxfId="30"/>
    <tableColumn id="17" xr3:uid="{2EE4AC00-D408-4F59-84E9-75CF998AD514}" name="Tech. Allowed Modification (Times)" dataDxfId="29">
      <calculatedColumnFormula>2</calculatedColumnFormula>
    </tableColumn>
    <tableColumn id="18" xr3:uid="{15AFB4E1-F175-435E-8E76-ABF6E9197909}" name="Tech. Modification days per time" dataDxfId="28">
      <calculatedColumnFormula>10</calculatedColumnFormula>
    </tableColumn>
    <tableColumn id="24" xr3:uid="{311075FB-89BF-444B-8FBF-C1A3B8D7ACD6}" name="Stu. Cost %_x000a_| Contract Value" dataDxfId="27"/>
    <tableColumn id="25" xr3:uid="{81102483-8A64-459C-A3F5-F96457FC0B93}" name="Design Cost %_x000a_| Contract Value" dataDxfId="26"/>
    <tableColumn id="27" xr3:uid="{D524DE97-08DB-4D83-9D13-7712B32FCBE4}" name="Tech. Cost %_x000a_| Contract Value" dataDxfId="25"/>
    <tableColumn id="28" xr3:uid="{CBA18AB7-D772-476E-A3CE-FF422042C582}" name="Contract Value" dataDxfId="24"/>
    <tableColumn id="34" xr3:uid="{944701B1-95AB-4C41-84C2-DCB8E9B2F413}" name="TeamLeader1" dataDxfId="23">
      <calculatedColumnFormula>IF(الجدول1[[#This Row],[Stu. Team Leader]]=0,0,INDEX(Employees!$E:$E,MATCH(الجدول1[[#This Row],[Stu. Team Leader]],Employees!$C:$C,0))*الجدول1[[#This Row],[Stu. Team Leader Working Percentage]])</calculatedColumnFormula>
    </tableColumn>
    <tableColumn id="35" xr3:uid="{FE84E0C3-6C70-43A2-A35B-29D4FB1B6011}" name="TeamLeader2" dataDxfId="22">
      <calculatedColumnFormula>IF(الجدول1[[#This Row],[Design Team Leader]]=0,0,INDEX(Employees!$E:$E,MATCH(الجدول1[[#This Row],[Design Team Leader]],Employees!$C:$C,0))*الجدول1[[#This Row],[Design Team Leader Working Percentage]])</calculatedColumnFormula>
    </tableColumn>
    <tableColumn id="36" xr3:uid="{A151E5A8-F83F-4207-BB44-525DE484353F}" name="TeamLeader3" dataDxfId="21">
      <calculatedColumnFormula>IF(الجدول1[[#This Row],[Tech. Team Leader]]=0,0,INDEX(Employees!$E:$E,MATCH(الجدول1[[#This Row],[Tech. Team Leader]],Employees!$C:$C,0))*الجدول1[[#This Row],[Tech. Team Leader Working Percentage]])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4E44EF-5172-41DC-A8AE-2E6EE6CE7696}" name="Table4" displayName="Table4" ref="E2:E195" totalsRowShown="0" headerRowDxfId="20" dataDxfId="19" tableBorderDxfId="18">
  <autoFilter ref="E2:E195" xr:uid="{154E44EF-5172-41DC-A8AE-2E6EE6CE7696}">
    <filterColumn colId="0" hiddenButton="1"/>
  </autoFilter>
  <tableColumns count="1">
    <tableColumn id="1" xr3:uid="{20A48BE5-B4FA-40D5-B208-10D0F5412311}" name=" " dataDxfId="17">
      <calculatedColumnFormula>D3&amp;COUNTIF(D$3:D3,D3)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73DB5-F5B7-47A6-A6AD-24FFE2F3398C}" name="Table1" displayName="Table1" ref="B1:C100" totalsRowShown="0" headerRowDxfId="16" dataDxfId="15">
  <autoFilter ref="B1:C100" xr:uid="{B8A73DB5-F5B7-47A6-A6AD-24FFE2F3398C}"/>
  <tableColumns count="2">
    <tableColumn id="2" xr3:uid="{A5A2EA6F-41CE-4787-9CEC-F038B1B6E1A0}" name="Phase" dataDxfId="14">
      <calculatedColumnFormula>IF(C2="","",INDEX(Tasks!$B:$B,MATCH(C2,Tasks!$C:$C,0)))</calculatedColumnFormula>
    </tableColumn>
    <tableColumn id="3" xr3:uid="{83E6C349-5736-423A-AFC5-52D1B710682E}" name="Client Tasks" dataDxfId="13">
      <calculatedColumnFormula>_xlfn.IFNA(INDEX(Tasks!C:C,MATCH("Client"&amp;D2,Tasks!E:E,0)),"")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5865E-5110-4B7F-B498-A8FCE08607C0}" name="Table3" displayName="Table3" ref="F1:G100" totalsRowShown="0" headerRowDxfId="12" dataDxfId="11">
  <autoFilter ref="F1:G100" xr:uid="{8225865E-5110-4B7F-B498-A8FCE08607C0}"/>
  <tableColumns count="2">
    <tableColumn id="1" xr3:uid="{DCC51F22-66F6-43E9-B04E-044F90399CB0}" name="Phase" dataDxfId="10">
      <calculatedColumnFormula>IF(G2="","",INDEX(Tasks!$B:$B,MATCH(G2,Tasks!$C:$C,0)))</calculatedColumnFormula>
    </tableColumn>
    <tableColumn id="2" xr3:uid="{8C8D8016-A983-422B-BB6E-2572411A605F}" name="Government Tasks" dataDxfId="9">
      <calculatedColumnFormula>_xlfn.IFNA(INDEX(Tasks!C:C,MATCH("Government"&amp;D2,Tasks!E:E,0)),"")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s.almulhim@cleardes.com" TargetMode="External"/><Relationship Id="rId1" Type="http://schemas.openxmlformats.org/officeDocument/2006/relationships/hyperlink" Target="mailto:a.boukaiss@cleard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F43-8FC5-4C41-A702-746F81B17402}">
  <sheetPr codeName="Sheet1"/>
  <dimension ref="A1:BA102"/>
  <sheetViews>
    <sheetView topLeftCell="J1" zoomScaleNormal="100" workbookViewId="0">
      <selection activeCell="P24" sqref="P24"/>
    </sheetView>
  </sheetViews>
  <sheetFormatPr defaultColWidth="9.125" defaultRowHeight="15" customHeight="1" x14ac:dyDescent="0.2"/>
  <cols>
    <col min="1" max="1" width="22.75" style="28" bestFit="1" customWidth="1"/>
    <col min="2" max="2" width="35.25" style="28" bestFit="1" customWidth="1"/>
    <col min="3" max="3" width="9.375" style="28" customWidth="1"/>
    <col min="4" max="4" width="16" style="28" bestFit="1" customWidth="1"/>
    <col min="5" max="5" width="14.875" style="28" bestFit="1" customWidth="1"/>
    <col min="6" max="6" width="3.625" style="28" customWidth="1"/>
    <col min="7" max="7" width="18.375" style="28" bestFit="1" customWidth="1"/>
    <col min="8" max="8" width="32.75" style="28" bestFit="1" customWidth="1"/>
    <col min="9" max="9" width="4" style="28" customWidth="1"/>
    <col min="10" max="10" width="20.875" style="28" customWidth="1"/>
    <col min="11" max="11" width="28.25" style="28" customWidth="1"/>
    <col min="12" max="12" width="3.25" style="28" customWidth="1"/>
    <col min="13" max="13" width="18" style="30" customWidth="1"/>
    <col min="14" max="14" width="3.375" style="28" customWidth="1"/>
    <col min="15" max="15" width="9.125" style="30" bestFit="1" customWidth="1"/>
    <col min="16" max="16" width="52.625" style="28" bestFit="1" customWidth="1"/>
    <col min="17" max="17" width="15.875" style="30" bestFit="1" customWidth="1"/>
    <col min="18" max="18" width="17.875" style="30" bestFit="1" customWidth="1"/>
    <col min="19" max="16384" width="9.125" style="28"/>
  </cols>
  <sheetData>
    <row r="1" spans="1:18" ht="27" customHeight="1" x14ac:dyDescent="0.2">
      <c r="A1" s="171" t="s">
        <v>0</v>
      </c>
      <c r="B1" s="171"/>
      <c r="C1" s="172" t="s">
        <v>1</v>
      </c>
      <c r="D1" s="172"/>
      <c r="E1" s="70"/>
      <c r="F1" s="71"/>
      <c r="G1" s="71"/>
      <c r="H1" s="71"/>
      <c r="I1" s="71"/>
      <c r="J1" s="71"/>
      <c r="K1" s="71"/>
      <c r="L1" s="71"/>
      <c r="M1" s="72"/>
      <c r="N1" s="71"/>
      <c r="O1" s="72"/>
      <c r="P1" s="71"/>
      <c r="Q1" s="72"/>
      <c r="R1" s="72"/>
    </row>
    <row r="2" spans="1:18" s="54" customFormat="1" ht="23.25" customHeight="1" x14ac:dyDescent="0.2">
      <c r="A2" s="52" t="s">
        <v>2</v>
      </c>
      <c r="B2" s="52" t="s">
        <v>3</v>
      </c>
      <c r="C2" s="52" t="s">
        <v>4</v>
      </c>
      <c r="D2" s="52" t="s">
        <v>5</v>
      </c>
      <c r="E2" s="53" t="s">
        <v>6</v>
      </c>
      <c r="G2" s="52" t="s">
        <v>7</v>
      </c>
      <c r="H2" s="53" t="s">
        <v>8</v>
      </c>
      <c r="J2" s="167" t="s">
        <v>9</v>
      </c>
      <c r="K2" s="169" t="s">
        <v>10</v>
      </c>
      <c r="M2" s="53" t="s">
        <v>11</v>
      </c>
      <c r="O2" s="55" t="s">
        <v>12</v>
      </c>
      <c r="P2" s="56" t="s">
        <v>13</v>
      </c>
      <c r="Q2" s="56" t="s">
        <v>14</v>
      </c>
      <c r="R2" s="57" t="s">
        <v>15</v>
      </c>
    </row>
    <row r="3" spans="1:18" ht="14.45" customHeight="1" x14ac:dyDescent="0.2">
      <c r="A3" s="73" t="s">
        <v>16</v>
      </c>
      <c r="B3" s="73" t="s">
        <v>17</v>
      </c>
      <c r="C3" s="73" t="s">
        <v>18</v>
      </c>
      <c r="D3" s="74" t="s">
        <v>19</v>
      </c>
      <c r="E3" s="75" t="s">
        <v>20</v>
      </c>
      <c r="F3" s="71"/>
      <c r="G3" s="76" t="s">
        <v>21</v>
      </c>
      <c r="H3" s="76" t="s">
        <v>22</v>
      </c>
      <c r="I3" s="71"/>
      <c r="J3" s="168"/>
      <c r="K3" s="170"/>
      <c r="L3" s="71"/>
      <c r="M3" s="77">
        <v>45923</v>
      </c>
      <c r="N3" s="71"/>
      <c r="O3" s="88" t="s">
        <v>16</v>
      </c>
      <c r="P3" s="6" t="s">
        <v>23</v>
      </c>
      <c r="Q3" s="78">
        <v>0</v>
      </c>
      <c r="R3" s="79"/>
    </row>
    <row r="4" spans="1:18" ht="14.25" x14ac:dyDescent="0.2">
      <c r="A4" s="80" t="s">
        <v>24</v>
      </c>
      <c r="B4" s="81" t="s">
        <v>25</v>
      </c>
      <c r="C4" s="82" t="s">
        <v>26</v>
      </c>
      <c r="D4" s="81" t="s">
        <v>27</v>
      </c>
      <c r="E4" s="83" t="s">
        <v>28</v>
      </c>
      <c r="F4" s="71"/>
      <c r="G4" s="84" t="s">
        <v>29</v>
      </c>
      <c r="H4" s="84" t="s">
        <v>30</v>
      </c>
      <c r="I4" s="71"/>
      <c r="J4" s="85">
        <v>10</v>
      </c>
      <c r="K4" s="86">
        <v>5</v>
      </c>
      <c r="L4" s="71"/>
      <c r="M4" s="87">
        <v>46288</v>
      </c>
      <c r="N4" s="71"/>
      <c r="O4" s="88" t="s">
        <v>16</v>
      </c>
      <c r="P4" s="6" t="s">
        <v>31</v>
      </c>
      <c r="Q4" s="90"/>
      <c r="R4" s="91"/>
    </row>
    <row r="5" spans="1:18" ht="14.25" x14ac:dyDescent="0.2">
      <c r="A5" s="82" t="s">
        <v>32</v>
      </c>
      <c r="B5" s="84" t="s">
        <v>33</v>
      </c>
      <c r="C5" s="71"/>
      <c r="D5" s="81" t="s">
        <v>34</v>
      </c>
      <c r="E5" s="83" t="s">
        <v>19</v>
      </c>
      <c r="F5" s="71"/>
      <c r="G5" s="84" t="s">
        <v>35</v>
      </c>
      <c r="H5" s="84" t="s">
        <v>36</v>
      </c>
      <c r="I5" s="71"/>
      <c r="J5" s="71"/>
      <c r="K5" s="71"/>
      <c r="L5" s="71"/>
      <c r="M5" s="87">
        <v>46653</v>
      </c>
      <c r="N5" s="71"/>
      <c r="O5" s="88" t="s">
        <v>16</v>
      </c>
      <c r="P5" s="89" t="s">
        <v>37</v>
      </c>
      <c r="Q5" s="90">
        <v>1</v>
      </c>
      <c r="R5" s="91">
        <v>0.15</v>
      </c>
    </row>
    <row r="6" spans="1:18" ht="14.25" x14ac:dyDescent="0.2">
      <c r="A6" s="71"/>
      <c r="B6" s="84" t="s">
        <v>38</v>
      </c>
      <c r="C6" s="71"/>
      <c r="D6" s="81" t="s">
        <v>24</v>
      </c>
      <c r="E6" s="83" t="s">
        <v>39</v>
      </c>
      <c r="F6" s="71"/>
      <c r="G6" s="84" t="s">
        <v>27</v>
      </c>
      <c r="H6" s="84" t="s">
        <v>40</v>
      </c>
      <c r="I6" s="71"/>
      <c r="J6" s="71"/>
      <c r="K6" s="71"/>
      <c r="L6" s="71"/>
      <c r="M6" s="87">
        <v>47019</v>
      </c>
      <c r="N6" s="71"/>
      <c r="O6" s="88" t="s">
        <v>16</v>
      </c>
      <c r="P6" s="6" t="s">
        <v>41</v>
      </c>
      <c r="Q6" s="90"/>
      <c r="R6" s="91"/>
    </row>
    <row r="7" spans="1:18" ht="14.25" x14ac:dyDescent="0.2">
      <c r="A7" s="71"/>
      <c r="B7" s="84" t="s">
        <v>42</v>
      </c>
      <c r="C7" s="71"/>
      <c r="D7" s="81" t="s">
        <v>32</v>
      </c>
      <c r="E7" s="92" t="s">
        <v>41</v>
      </c>
      <c r="F7" s="71"/>
      <c r="G7" s="84" t="s">
        <v>43</v>
      </c>
      <c r="H7" s="84" t="s">
        <v>44</v>
      </c>
      <c r="I7" s="71"/>
      <c r="J7" s="71"/>
      <c r="K7" s="71"/>
      <c r="L7" s="71"/>
      <c r="M7" s="87">
        <v>47384</v>
      </c>
      <c r="N7" s="71"/>
      <c r="O7" s="88" t="s">
        <v>24</v>
      </c>
      <c r="P7" s="6" t="s">
        <v>23</v>
      </c>
      <c r="Q7" s="90">
        <v>2</v>
      </c>
      <c r="R7" s="91"/>
    </row>
    <row r="8" spans="1:18" ht="14.25" x14ac:dyDescent="0.2">
      <c r="A8" s="71"/>
      <c r="B8" s="84" t="s">
        <v>45</v>
      </c>
      <c r="C8" s="71"/>
      <c r="D8" s="81" t="s">
        <v>41</v>
      </c>
      <c r="E8" s="71"/>
      <c r="F8" s="71"/>
      <c r="G8" s="114" t="s">
        <v>46</v>
      </c>
      <c r="H8" s="84" t="s">
        <v>47</v>
      </c>
      <c r="I8" s="71"/>
      <c r="J8" s="71"/>
      <c r="K8" s="71"/>
      <c r="L8" s="71"/>
      <c r="M8" s="87">
        <v>47749</v>
      </c>
      <c r="N8" s="71"/>
      <c r="O8" s="88" t="s">
        <v>24</v>
      </c>
      <c r="P8" s="6" t="s">
        <v>31</v>
      </c>
      <c r="Q8" s="90"/>
      <c r="R8" s="91"/>
    </row>
    <row r="9" spans="1:18" ht="14.25" x14ac:dyDescent="0.2">
      <c r="A9" s="71"/>
      <c r="B9" s="84" t="s">
        <v>48</v>
      </c>
      <c r="C9" s="71"/>
      <c r="D9" s="81"/>
      <c r="E9" s="71"/>
      <c r="F9" s="71"/>
      <c r="G9" s="84" t="s">
        <v>49</v>
      </c>
      <c r="H9" s="84" t="s">
        <v>50</v>
      </c>
      <c r="I9" s="71"/>
      <c r="J9" s="71"/>
      <c r="K9" s="71"/>
      <c r="L9" s="71"/>
      <c r="M9" s="87">
        <v>45710</v>
      </c>
      <c r="N9" s="71"/>
      <c r="O9" s="88" t="s">
        <v>24</v>
      </c>
      <c r="P9" s="89" t="s">
        <v>37</v>
      </c>
      <c r="Q9" s="90">
        <v>1</v>
      </c>
      <c r="R9" s="91"/>
    </row>
    <row r="10" spans="1:18" ht="14.25" x14ac:dyDescent="0.2">
      <c r="A10" s="71"/>
      <c r="B10" s="84" t="s">
        <v>51</v>
      </c>
      <c r="C10" s="71"/>
      <c r="D10" s="81"/>
      <c r="E10" s="71"/>
      <c r="F10" s="71"/>
      <c r="G10" s="84" t="s">
        <v>52</v>
      </c>
      <c r="H10" s="84" t="s">
        <v>53</v>
      </c>
      <c r="I10" s="71"/>
      <c r="J10" s="71"/>
      <c r="K10" s="71"/>
      <c r="L10" s="71"/>
      <c r="M10" s="87">
        <v>46075</v>
      </c>
      <c r="N10" s="71"/>
      <c r="O10" s="88" t="s">
        <v>24</v>
      </c>
      <c r="P10" s="89" t="s">
        <v>54</v>
      </c>
      <c r="Q10" s="90"/>
      <c r="R10" s="91"/>
    </row>
    <row r="11" spans="1:18" ht="14.25" x14ac:dyDescent="0.2">
      <c r="A11" s="71"/>
      <c r="B11" s="84" t="s">
        <v>55</v>
      </c>
      <c r="C11" s="71"/>
      <c r="D11" s="81"/>
      <c r="E11" s="71"/>
      <c r="F11" s="71"/>
      <c r="G11" s="84" t="s">
        <v>56</v>
      </c>
      <c r="H11" s="84" t="s">
        <v>57</v>
      </c>
      <c r="I11" s="71"/>
      <c r="J11" s="71"/>
      <c r="K11" s="71"/>
      <c r="L11" s="71"/>
      <c r="M11" s="87">
        <v>46440</v>
      </c>
      <c r="N11" s="71"/>
      <c r="O11" s="88" t="s">
        <v>24</v>
      </c>
      <c r="P11" s="89" t="s">
        <v>58</v>
      </c>
      <c r="Q11" s="90"/>
      <c r="R11" s="91"/>
    </row>
    <row r="12" spans="1:18" ht="14.25" x14ac:dyDescent="0.2">
      <c r="A12" s="71"/>
      <c r="B12" s="84" t="s">
        <v>59</v>
      </c>
      <c r="C12" s="71"/>
      <c r="D12" s="81"/>
      <c r="E12" s="71"/>
      <c r="F12" s="71"/>
      <c r="G12" s="84" t="s">
        <v>60</v>
      </c>
      <c r="H12" s="84" t="s">
        <v>61</v>
      </c>
      <c r="I12" s="71"/>
      <c r="J12" s="71"/>
      <c r="K12" s="71"/>
      <c r="L12" s="71"/>
      <c r="M12" s="87">
        <v>46805</v>
      </c>
      <c r="N12" s="71"/>
      <c r="O12" s="88" t="s">
        <v>24</v>
      </c>
      <c r="P12" s="6" t="s">
        <v>41</v>
      </c>
      <c r="Q12" s="90"/>
      <c r="R12" s="91"/>
    </row>
    <row r="13" spans="1:18" ht="14.25" x14ac:dyDescent="0.2">
      <c r="A13" s="71"/>
      <c r="B13" s="84"/>
      <c r="C13" s="71"/>
      <c r="D13" s="81"/>
      <c r="E13" s="71"/>
      <c r="F13" s="71"/>
      <c r="G13" s="84" t="s">
        <v>62</v>
      </c>
      <c r="H13" s="84" t="s">
        <v>63</v>
      </c>
      <c r="I13" s="71"/>
      <c r="J13" s="71"/>
      <c r="K13" s="71"/>
      <c r="L13" s="71"/>
      <c r="M13" s="87">
        <v>47171</v>
      </c>
      <c r="N13" s="71"/>
      <c r="O13" s="88" t="s">
        <v>32</v>
      </c>
      <c r="P13" s="6" t="s">
        <v>23</v>
      </c>
      <c r="Q13" s="90">
        <v>2</v>
      </c>
      <c r="R13" s="91"/>
    </row>
    <row r="14" spans="1:18" ht="14.25" x14ac:dyDescent="0.2">
      <c r="A14" s="71"/>
      <c r="B14" s="51"/>
      <c r="C14" s="71"/>
      <c r="D14" s="81"/>
      <c r="E14" s="71"/>
      <c r="F14" s="71"/>
      <c r="G14" s="84" t="s">
        <v>64</v>
      </c>
      <c r="H14" s="84" t="s">
        <v>65</v>
      </c>
      <c r="I14" s="71"/>
      <c r="J14" s="71"/>
      <c r="K14" s="71"/>
      <c r="L14" s="71"/>
      <c r="M14" s="87">
        <v>47536</v>
      </c>
      <c r="N14" s="71"/>
      <c r="O14" s="88" t="s">
        <v>32</v>
      </c>
      <c r="P14" s="6" t="s">
        <v>31</v>
      </c>
      <c r="Q14" s="90"/>
      <c r="R14" s="91"/>
    </row>
    <row r="15" spans="1:18" ht="14.25" x14ac:dyDescent="0.2">
      <c r="A15" s="71"/>
      <c r="B15" s="51"/>
      <c r="C15" s="71"/>
      <c r="D15" s="93"/>
      <c r="E15" s="71"/>
      <c r="F15" s="71"/>
      <c r="G15" s="94" t="s">
        <v>66</v>
      </c>
      <c r="H15" s="94" t="s">
        <v>66</v>
      </c>
      <c r="I15" s="71"/>
      <c r="J15" s="71"/>
      <c r="K15" s="71"/>
      <c r="L15" s="71"/>
      <c r="M15" s="87">
        <v>45746</v>
      </c>
      <c r="N15" s="71"/>
      <c r="O15" s="88" t="s">
        <v>32</v>
      </c>
      <c r="P15" s="89" t="s">
        <v>37</v>
      </c>
      <c r="Q15" s="90">
        <v>2</v>
      </c>
      <c r="R15" s="91"/>
    </row>
    <row r="16" spans="1:18" ht="14.25" x14ac:dyDescent="0.2">
      <c r="A16" s="71"/>
      <c r="B16" s="5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87">
        <v>45747</v>
      </c>
      <c r="N16" s="71"/>
      <c r="O16" s="88" t="s">
        <v>32</v>
      </c>
      <c r="P16" s="6" t="s">
        <v>67</v>
      </c>
      <c r="Q16" s="90">
        <v>0</v>
      </c>
      <c r="R16" s="91"/>
    </row>
    <row r="17" spans="1:53" s="29" customFormat="1" ht="14.25" x14ac:dyDescent="0.2">
      <c r="A17" s="71"/>
      <c r="B17" s="5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87">
        <v>45748</v>
      </c>
      <c r="N17" s="71"/>
      <c r="O17" s="88" t="s">
        <v>32</v>
      </c>
      <c r="P17" s="89" t="s">
        <v>54</v>
      </c>
      <c r="Q17" s="90"/>
      <c r="R17" s="9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</row>
    <row r="18" spans="1:53" ht="14.25" x14ac:dyDescent="0.2">
      <c r="A18" s="71"/>
      <c r="B18" s="5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87">
        <v>46101</v>
      </c>
      <c r="N18" s="71"/>
      <c r="O18" s="88" t="s">
        <v>32</v>
      </c>
      <c r="P18" s="89" t="s">
        <v>58</v>
      </c>
      <c r="Q18" s="90"/>
      <c r="R18" s="9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</row>
    <row r="19" spans="1:53" ht="14.25" x14ac:dyDescent="0.2">
      <c r="A19" s="71"/>
      <c r="B19" s="5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87">
        <v>46102</v>
      </c>
      <c r="N19" s="71"/>
      <c r="O19" s="88" t="s">
        <v>32</v>
      </c>
      <c r="P19" s="6" t="s">
        <v>68</v>
      </c>
      <c r="Q19" s="90"/>
      <c r="R19" s="9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</row>
    <row r="20" spans="1:53" ht="14.25" x14ac:dyDescent="0.2">
      <c r="A20" s="71"/>
      <c r="B20" s="5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87">
        <v>46103</v>
      </c>
      <c r="N20" s="71"/>
      <c r="O20" s="88" t="s">
        <v>32</v>
      </c>
      <c r="P20" s="6" t="s">
        <v>41</v>
      </c>
      <c r="Q20" s="90"/>
      <c r="R20" s="9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</row>
    <row r="21" spans="1:53" ht="14.25" x14ac:dyDescent="0.2">
      <c r="A21" s="71"/>
      <c r="B21" s="5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87">
        <v>46456</v>
      </c>
      <c r="N21" s="71"/>
      <c r="O21" s="88"/>
      <c r="P21" s="6"/>
      <c r="Q21" s="90"/>
      <c r="R21" s="9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</row>
    <row r="22" spans="1:53" ht="14.25" x14ac:dyDescent="0.2">
      <c r="A22" s="71"/>
      <c r="B22" s="5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87">
        <v>46457</v>
      </c>
      <c r="N22" s="71"/>
      <c r="O22" s="88"/>
      <c r="P22" s="6"/>
      <c r="Q22" s="90"/>
      <c r="R22" s="9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</row>
    <row r="23" spans="1:53" ht="14.25" x14ac:dyDescent="0.2">
      <c r="A23" s="71"/>
      <c r="B23" s="5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87">
        <v>46458</v>
      </c>
      <c r="N23" s="71"/>
      <c r="O23" s="88"/>
      <c r="P23" s="89"/>
      <c r="Q23" s="90"/>
      <c r="R23" s="9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</row>
    <row r="24" spans="1:53" ht="14.25" x14ac:dyDescent="0.2">
      <c r="A24" s="71"/>
      <c r="B24" s="5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87">
        <v>46810</v>
      </c>
      <c r="N24" s="71"/>
      <c r="O24" s="88"/>
      <c r="P24" s="89"/>
      <c r="Q24" s="90"/>
      <c r="R24" s="9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</row>
    <row r="25" spans="1:53" ht="14.25" x14ac:dyDescent="0.2">
      <c r="A25" s="71"/>
      <c r="B25" s="5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87">
        <v>46811</v>
      </c>
      <c r="N25" s="71"/>
      <c r="O25" s="88"/>
      <c r="P25" s="89"/>
      <c r="Q25" s="90"/>
      <c r="R25" s="9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</row>
    <row r="26" spans="1:53" ht="14.25" x14ac:dyDescent="0.2">
      <c r="A26" s="71"/>
      <c r="B26" s="5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87">
        <v>46812</v>
      </c>
      <c r="N26" s="71"/>
      <c r="O26" s="88"/>
      <c r="P26" s="6"/>
      <c r="Q26" s="90"/>
      <c r="R26" s="9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</row>
    <row r="27" spans="1:53" ht="14.25" x14ac:dyDescent="0.2">
      <c r="A27" s="71"/>
      <c r="B27" s="5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87">
        <v>47164</v>
      </c>
      <c r="N27" s="71"/>
      <c r="O27" s="88"/>
      <c r="P27" s="89"/>
      <c r="Q27" s="90"/>
      <c r="R27" s="9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</row>
    <row r="28" spans="1:53" ht="14.25" x14ac:dyDescent="0.2">
      <c r="A28" s="71"/>
      <c r="B28" s="5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87">
        <v>47165</v>
      </c>
      <c r="N28" s="71"/>
      <c r="O28" s="88"/>
      <c r="P28" s="89"/>
      <c r="Q28" s="90"/>
      <c r="R28" s="9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</row>
    <row r="29" spans="1:53" ht="14.25" x14ac:dyDescent="0.2">
      <c r="A29" s="71"/>
      <c r="B29" s="5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87">
        <v>47166</v>
      </c>
      <c r="N29" s="71"/>
      <c r="O29" s="88"/>
      <c r="P29" s="89"/>
      <c r="Q29" s="90"/>
      <c r="R29" s="9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</row>
    <row r="30" spans="1:53" ht="14.25" x14ac:dyDescent="0.2">
      <c r="A30" s="71"/>
      <c r="B30" s="5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87">
        <v>47519</v>
      </c>
      <c r="N30" s="71"/>
      <c r="O30" s="88"/>
      <c r="P30" s="89"/>
      <c r="Q30" s="90"/>
      <c r="R30" s="9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</row>
    <row r="31" spans="1:53" ht="14.25" x14ac:dyDescent="0.2">
      <c r="A31" s="71"/>
      <c r="B31" s="5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87">
        <v>47520</v>
      </c>
      <c r="N31" s="71"/>
      <c r="O31" s="88"/>
      <c r="P31" s="89"/>
      <c r="Q31" s="90"/>
      <c r="R31" s="9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</row>
    <row r="32" spans="1:53" ht="14.25" x14ac:dyDescent="0.2">
      <c r="A32" s="71"/>
      <c r="B32" s="84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87">
        <v>47521</v>
      </c>
      <c r="N32" s="71"/>
      <c r="O32" s="88"/>
      <c r="P32" s="89"/>
      <c r="Q32" s="90"/>
      <c r="R32" s="9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</row>
    <row r="33" spans="2:18" ht="14.25" x14ac:dyDescent="0.2">
      <c r="B33" s="84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87">
        <v>45814</v>
      </c>
      <c r="N33" s="71"/>
      <c r="O33" s="88"/>
      <c r="P33" s="89"/>
      <c r="Q33" s="90"/>
      <c r="R33" s="91"/>
    </row>
    <row r="34" spans="2:18" ht="14.25" x14ac:dyDescent="0.2">
      <c r="B34" s="84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87">
        <v>45815</v>
      </c>
      <c r="N34" s="71"/>
      <c r="O34" s="88"/>
      <c r="P34" s="89"/>
      <c r="Q34" s="90"/>
      <c r="R34" s="91"/>
    </row>
    <row r="35" spans="2:18" ht="14.25" x14ac:dyDescent="0.2">
      <c r="B35" s="84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87">
        <v>45816</v>
      </c>
      <c r="N35" s="71"/>
      <c r="O35" s="88"/>
      <c r="P35" s="89"/>
      <c r="Q35" s="90"/>
      <c r="R35" s="91"/>
    </row>
    <row r="36" spans="2:18" ht="14.25" x14ac:dyDescent="0.2">
      <c r="B36" s="84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87">
        <v>45817</v>
      </c>
      <c r="N36" s="71"/>
      <c r="O36" s="88"/>
      <c r="P36" s="89"/>
      <c r="Q36" s="90"/>
      <c r="R36" s="91"/>
    </row>
    <row r="37" spans="2:18" ht="14.25" x14ac:dyDescent="0.2">
      <c r="B37" s="84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87">
        <v>46169</v>
      </c>
      <c r="N37" s="71"/>
      <c r="O37" s="88"/>
      <c r="P37" s="89"/>
      <c r="Q37" s="90"/>
      <c r="R37" s="91"/>
    </row>
    <row r="38" spans="2:18" ht="14.25" x14ac:dyDescent="0.2">
      <c r="B38" s="84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87">
        <v>46170</v>
      </c>
      <c r="N38" s="71"/>
      <c r="O38" s="88"/>
      <c r="P38" s="89"/>
      <c r="Q38" s="90"/>
      <c r="R38" s="91"/>
    </row>
    <row r="39" spans="2:18" ht="14.25" x14ac:dyDescent="0.2">
      <c r="B39" s="84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87">
        <v>46171</v>
      </c>
      <c r="N39" s="71"/>
      <c r="O39" s="88"/>
      <c r="P39" s="89"/>
      <c r="Q39" s="90"/>
      <c r="R39" s="91"/>
    </row>
    <row r="40" spans="2:18" ht="14.25" x14ac:dyDescent="0.2">
      <c r="B40" s="84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87">
        <v>46172</v>
      </c>
      <c r="N40" s="71"/>
      <c r="O40" s="88"/>
      <c r="P40" s="89"/>
      <c r="Q40" s="90"/>
      <c r="R40" s="91"/>
    </row>
    <row r="41" spans="2:18" ht="14.25" x14ac:dyDescent="0.2">
      <c r="B41" s="84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87">
        <v>46524</v>
      </c>
      <c r="N41" s="71"/>
      <c r="O41" s="88"/>
      <c r="P41" s="89"/>
      <c r="Q41" s="90"/>
      <c r="R41" s="91"/>
    </row>
    <row r="42" spans="2:18" ht="14.25" x14ac:dyDescent="0.2">
      <c r="B42" s="84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87">
        <v>46525</v>
      </c>
      <c r="N42" s="71"/>
      <c r="O42" s="88"/>
      <c r="P42" s="89"/>
      <c r="Q42" s="90"/>
      <c r="R42" s="91"/>
    </row>
    <row r="43" spans="2:18" ht="14.25" x14ac:dyDescent="0.2">
      <c r="B43" s="84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87">
        <v>46526</v>
      </c>
      <c r="N43" s="71"/>
      <c r="O43" s="88"/>
      <c r="P43" s="89"/>
      <c r="Q43" s="90"/>
      <c r="R43" s="91"/>
    </row>
    <row r="44" spans="2:18" ht="14.25" x14ac:dyDescent="0.2">
      <c r="B44" s="84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87">
        <v>46527</v>
      </c>
      <c r="N44" s="71"/>
      <c r="O44" s="88"/>
      <c r="P44" s="89"/>
      <c r="Q44" s="90"/>
      <c r="R44" s="91"/>
    </row>
    <row r="45" spans="2:18" ht="14.25" x14ac:dyDescent="0.2">
      <c r="B45" s="84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87">
        <v>46878</v>
      </c>
      <c r="N45" s="71"/>
      <c r="O45" s="88"/>
      <c r="P45" s="89"/>
      <c r="Q45" s="90"/>
      <c r="R45" s="91"/>
    </row>
    <row r="46" spans="2:18" ht="14.25" x14ac:dyDescent="0.2">
      <c r="B46" s="84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87">
        <v>46879</v>
      </c>
      <c r="N46" s="71"/>
      <c r="O46" s="88"/>
      <c r="P46" s="89"/>
      <c r="Q46" s="90"/>
      <c r="R46" s="91"/>
    </row>
    <row r="47" spans="2:18" ht="14.25" x14ac:dyDescent="0.2">
      <c r="B47" s="84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87">
        <v>46880</v>
      </c>
      <c r="N47" s="71"/>
      <c r="O47" s="88"/>
      <c r="P47" s="89"/>
      <c r="Q47" s="90"/>
      <c r="R47" s="91"/>
    </row>
    <row r="48" spans="2:18" ht="14.25" x14ac:dyDescent="0.2">
      <c r="B48" s="84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87">
        <v>46881</v>
      </c>
      <c r="N48" s="71"/>
      <c r="O48" s="88"/>
      <c r="P48" s="89"/>
      <c r="Q48" s="90"/>
      <c r="R48" s="91"/>
    </row>
    <row r="49" spans="2:18" ht="14.25" x14ac:dyDescent="0.2">
      <c r="B49" s="84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87">
        <v>47232</v>
      </c>
      <c r="N49" s="71"/>
      <c r="O49" s="88"/>
      <c r="P49" s="89"/>
      <c r="Q49" s="90"/>
      <c r="R49" s="91"/>
    </row>
    <row r="50" spans="2:18" ht="14.25" x14ac:dyDescent="0.2">
      <c r="B50" s="94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87">
        <v>47233</v>
      </c>
      <c r="N50" s="71"/>
      <c r="O50" s="88"/>
      <c r="P50" s="89"/>
      <c r="Q50" s="90"/>
      <c r="R50" s="91"/>
    </row>
    <row r="51" spans="2:18" ht="14.25" x14ac:dyDescent="0.2"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87">
        <v>47234</v>
      </c>
      <c r="N51" s="71"/>
      <c r="O51" s="88"/>
      <c r="P51" s="89"/>
      <c r="Q51" s="90"/>
      <c r="R51" s="91"/>
    </row>
    <row r="52" spans="2:18" ht="14.25" x14ac:dyDescent="0.2"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87">
        <v>47235</v>
      </c>
      <c r="N52" s="71"/>
      <c r="O52" s="88"/>
      <c r="P52" s="89"/>
      <c r="Q52" s="90"/>
      <c r="R52" s="91"/>
    </row>
    <row r="53" spans="2:18" ht="14.25" x14ac:dyDescent="0.2"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87">
        <v>47587</v>
      </c>
      <c r="N53" s="71"/>
      <c r="O53" s="88"/>
      <c r="P53" s="89"/>
      <c r="Q53" s="90"/>
      <c r="R53" s="91"/>
    </row>
    <row r="54" spans="2:18" ht="14.25" x14ac:dyDescent="0.2"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87">
        <v>47588</v>
      </c>
      <c r="N54" s="71"/>
      <c r="O54" s="88"/>
      <c r="P54" s="89"/>
      <c r="Q54" s="90"/>
      <c r="R54" s="91"/>
    </row>
    <row r="55" spans="2:18" ht="14.25" x14ac:dyDescent="0.2"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87">
        <v>47589</v>
      </c>
      <c r="N55" s="71"/>
      <c r="O55" s="88"/>
      <c r="P55" s="89"/>
      <c r="Q55" s="90"/>
      <c r="R55" s="91"/>
    </row>
    <row r="56" spans="2:18" ht="14.25" x14ac:dyDescent="0.2"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87">
        <v>47590</v>
      </c>
      <c r="N56" s="71"/>
      <c r="O56" s="88"/>
      <c r="P56" s="89"/>
      <c r="Q56" s="90"/>
      <c r="R56" s="91"/>
    </row>
    <row r="57" spans="2:18" ht="14.25" x14ac:dyDescent="0.2"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87"/>
      <c r="N57" s="71"/>
      <c r="O57" s="88"/>
      <c r="P57" s="89"/>
      <c r="Q57" s="90"/>
      <c r="R57" s="91"/>
    </row>
    <row r="58" spans="2:18" ht="14.25" x14ac:dyDescent="0.2"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87"/>
      <c r="N58" s="71"/>
      <c r="O58" s="88"/>
      <c r="P58" s="89"/>
      <c r="Q58" s="90"/>
      <c r="R58" s="91"/>
    </row>
    <row r="59" spans="2:18" ht="14.25" x14ac:dyDescent="0.2"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87"/>
      <c r="N59" s="71"/>
      <c r="O59" s="88"/>
      <c r="P59" s="89"/>
      <c r="Q59" s="90"/>
      <c r="R59" s="91"/>
    </row>
    <row r="60" spans="2:18" ht="14.25" x14ac:dyDescent="0.2"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87"/>
      <c r="N60" s="71"/>
      <c r="O60" s="88"/>
      <c r="P60" s="89"/>
      <c r="Q60" s="90"/>
      <c r="R60" s="91"/>
    </row>
    <row r="61" spans="2:18" ht="14.25" x14ac:dyDescent="0.2"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87"/>
      <c r="N61" s="71"/>
      <c r="O61" s="88"/>
      <c r="P61" s="89"/>
      <c r="Q61" s="90"/>
      <c r="R61" s="91"/>
    </row>
    <row r="62" spans="2:18" ht="14.25" x14ac:dyDescent="0.2"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87"/>
      <c r="N62" s="71"/>
      <c r="O62" s="88"/>
      <c r="P62" s="89"/>
      <c r="Q62" s="90"/>
      <c r="R62" s="91"/>
    </row>
    <row r="63" spans="2:18" ht="14.25" x14ac:dyDescent="0.2"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87"/>
      <c r="N63" s="71"/>
      <c r="O63" s="88"/>
      <c r="P63" s="89"/>
      <c r="Q63" s="90"/>
      <c r="R63" s="91"/>
    </row>
    <row r="64" spans="2:18" ht="14.25" x14ac:dyDescent="0.2"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87"/>
      <c r="N64" s="71"/>
      <c r="O64" s="88"/>
      <c r="P64" s="89"/>
      <c r="Q64" s="90"/>
      <c r="R64" s="91"/>
    </row>
    <row r="65" spans="13:18" ht="14.25" x14ac:dyDescent="0.2">
      <c r="M65" s="87"/>
      <c r="N65" s="71"/>
      <c r="O65" s="88"/>
      <c r="P65" s="89"/>
      <c r="Q65" s="90"/>
      <c r="R65" s="91"/>
    </row>
    <row r="66" spans="13:18" ht="14.25" x14ac:dyDescent="0.2">
      <c r="M66" s="87"/>
      <c r="N66" s="71"/>
      <c r="O66" s="88"/>
      <c r="P66" s="89"/>
      <c r="Q66" s="90"/>
      <c r="R66" s="91"/>
    </row>
    <row r="67" spans="13:18" ht="14.25" x14ac:dyDescent="0.2">
      <c r="M67" s="87"/>
      <c r="N67" s="71"/>
      <c r="O67" s="88"/>
      <c r="P67" s="89"/>
      <c r="Q67" s="90"/>
      <c r="R67" s="91"/>
    </row>
    <row r="68" spans="13:18" ht="14.25" x14ac:dyDescent="0.2">
      <c r="M68" s="87"/>
      <c r="N68" s="71"/>
      <c r="O68" s="88"/>
      <c r="P68" s="89"/>
      <c r="Q68" s="90"/>
      <c r="R68" s="91"/>
    </row>
    <row r="69" spans="13:18" ht="14.25" x14ac:dyDescent="0.2">
      <c r="M69" s="87"/>
      <c r="N69" s="71"/>
      <c r="O69" s="88"/>
      <c r="P69" s="89"/>
      <c r="Q69" s="90"/>
      <c r="R69" s="91"/>
    </row>
    <row r="70" spans="13:18" ht="14.25" x14ac:dyDescent="0.2">
      <c r="M70" s="87"/>
      <c r="N70" s="71"/>
      <c r="O70" s="88"/>
      <c r="P70" s="89"/>
      <c r="Q70" s="90"/>
      <c r="R70" s="91"/>
    </row>
    <row r="71" spans="13:18" ht="14.25" x14ac:dyDescent="0.2">
      <c r="M71" s="87"/>
      <c r="N71" s="71"/>
      <c r="O71" s="88"/>
      <c r="P71" s="89"/>
      <c r="Q71" s="90"/>
      <c r="R71" s="91"/>
    </row>
    <row r="72" spans="13:18" ht="14.25" x14ac:dyDescent="0.2">
      <c r="M72" s="87"/>
      <c r="N72" s="71"/>
      <c r="O72" s="88"/>
      <c r="P72" s="89"/>
      <c r="Q72" s="90"/>
      <c r="R72" s="91"/>
    </row>
    <row r="73" spans="13:18" ht="14.25" x14ac:dyDescent="0.2">
      <c r="M73" s="87"/>
      <c r="N73" s="71"/>
      <c r="O73" s="88"/>
      <c r="P73" s="89"/>
      <c r="Q73" s="90"/>
      <c r="R73" s="91"/>
    </row>
    <row r="74" spans="13:18" ht="14.25" x14ac:dyDescent="0.2">
      <c r="M74" s="87"/>
      <c r="N74" s="71"/>
      <c r="O74" s="88"/>
      <c r="P74" s="89"/>
      <c r="Q74" s="90"/>
      <c r="R74" s="91"/>
    </row>
    <row r="75" spans="13:18" ht="14.25" x14ac:dyDescent="0.2">
      <c r="M75" s="87"/>
      <c r="N75" s="71"/>
      <c r="O75" s="88"/>
      <c r="P75" s="89"/>
      <c r="Q75" s="90"/>
      <c r="R75" s="91"/>
    </row>
    <row r="76" spans="13:18" ht="14.25" x14ac:dyDescent="0.2">
      <c r="M76" s="87"/>
      <c r="N76" s="71"/>
      <c r="O76" s="88"/>
      <c r="P76" s="89"/>
      <c r="Q76" s="90"/>
      <c r="R76" s="91"/>
    </row>
    <row r="77" spans="13:18" ht="14.25" x14ac:dyDescent="0.2">
      <c r="M77" s="87"/>
      <c r="N77" s="71"/>
      <c r="O77" s="88"/>
      <c r="P77" s="89"/>
      <c r="Q77" s="90"/>
      <c r="R77" s="91"/>
    </row>
    <row r="78" spans="13:18" ht="14.25" x14ac:dyDescent="0.2">
      <c r="M78" s="87"/>
      <c r="N78" s="71"/>
      <c r="O78" s="88"/>
      <c r="P78" s="89"/>
      <c r="Q78" s="90"/>
      <c r="R78" s="91"/>
    </row>
    <row r="79" spans="13:18" ht="14.25" x14ac:dyDescent="0.2">
      <c r="M79" s="87"/>
      <c r="N79" s="71"/>
      <c r="O79" s="88"/>
      <c r="P79" s="89"/>
      <c r="Q79" s="90"/>
      <c r="R79" s="91"/>
    </row>
    <row r="80" spans="13:18" ht="14.25" x14ac:dyDescent="0.2">
      <c r="M80" s="87"/>
      <c r="N80" s="71"/>
      <c r="O80" s="88"/>
      <c r="P80" s="89"/>
      <c r="Q80" s="90"/>
      <c r="R80" s="91"/>
    </row>
    <row r="81" spans="13:18" ht="14.25" x14ac:dyDescent="0.2">
      <c r="M81" s="87"/>
      <c r="N81" s="71"/>
      <c r="O81" s="88"/>
      <c r="P81" s="89"/>
      <c r="Q81" s="90"/>
      <c r="R81" s="91"/>
    </row>
    <row r="82" spans="13:18" ht="14.25" x14ac:dyDescent="0.2">
      <c r="M82" s="87"/>
      <c r="N82" s="71"/>
      <c r="O82" s="88"/>
      <c r="P82" s="89"/>
      <c r="Q82" s="90"/>
      <c r="R82" s="91"/>
    </row>
    <row r="83" spans="13:18" ht="14.25" x14ac:dyDescent="0.2">
      <c r="M83" s="87"/>
      <c r="N83" s="71"/>
      <c r="O83" s="88"/>
      <c r="P83" s="89"/>
      <c r="Q83" s="90"/>
      <c r="R83" s="91"/>
    </row>
    <row r="84" spans="13:18" ht="14.25" x14ac:dyDescent="0.2">
      <c r="M84" s="87"/>
      <c r="N84" s="71"/>
      <c r="O84" s="88"/>
      <c r="P84" s="89"/>
      <c r="Q84" s="90"/>
      <c r="R84" s="91"/>
    </row>
    <row r="85" spans="13:18" ht="14.25" x14ac:dyDescent="0.2">
      <c r="M85" s="87"/>
      <c r="N85" s="71"/>
      <c r="O85" s="88"/>
      <c r="P85" s="89"/>
      <c r="Q85" s="90"/>
      <c r="R85" s="91"/>
    </row>
    <row r="86" spans="13:18" ht="14.25" x14ac:dyDescent="0.2">
      <c r="M86" s="87"/>
      <c r="N86" s="71"/>
      <c r="O86" s="88"/>
      <c r="P86" s="89"/>
      <c r="Q86" s="90"/>
      <c r="R86" s="91"/>
    </row>
    <row r="87" spans="13:18" ht="14.25" x14ac:dyDescent="0.2">
      <c r="M87" s="87"/>
      <c r="N87" s="71"/>
      <c r="O87" s="88"/>
      <c r="P87" s="89"/>
      <c r="Q87" s="90"/>
      <c r="R87" s="91"/>
    </row>
    <row r="88" spans="13:18" ht="14.25" x14ac:dyDescent="0.2">
      <c r="M88" s="87"/>
      <c r="N88" s="71"/>
      <c r="O88" s="88"/>
      <c r="P88" s="89"/>
      <c r="Q88" s="90"/>
      <c r="R88" s="91"/>
    </row>
    <row r="89" spans="13:18" ht="14.25" x14ac:dyDescent="0.2">
      <c r="M89" s="87"/>
      <c r="N89" s="71"/>
      <c r="O89" s="88"/>
      <c r="P89" s="89"/>
      <c r="Q89" s="90"/>
      <c r="R89" s="91"/>
    </row>
    <row r="90" spans="13:18" ht="14.25" x14ac:dyDescent="0.2">
      <c r="M90" s="87"/>
      <c r="N90" s="71"/>
      <c r="O90" s="88"/>
      <c r="P90" s="89"/>
      <c r="Q90" s="90"/>
      <c r="R90" s="91"/>
    </row>
    <row r="91" spans="13:18" ht="14.25" x14ac:dyDescent="0.2">
      <c r="M91" s="87"/>
      <c r="N91" s="71"/>
      <c r="O91" s="88"/>
      <c r="P91" s="89"/>
      <c r="Q91" s="90"/>
      <c r="R91" s="91"/>
    </row>
    <row r="92" spans="13:18" ht="14.25" x14ac:dyDescent="0.2">
      <c r="M92" s="87"/>
      <c r="N92" s="71"/>
      <c r="O92" s="88"/>
      <c r="P92" s="89"/>
      <c r="Q92" s="90"/>
      <c r="R92" s="91"/>
    </row>
    <row r="93" spans="13:18" ht="14.25" x14ac:dyDescent="0.2">
      <c r="M93" s="87"/>
      <c r="N93" s="71"/>
      <c r="O93" s="88"/>
      <c r="P93" s="89"/>
      <c r="Q93" s="90"/>
      <c r="R93" s="91"/>
    </row>
    <row r="94" spans="13:18" ht="14.25" x14ac:dyDescent="0.2">
      <c r="M94" s="87"/>
      <c r="N94" s="71"/>
      <c r="O94" s="88"/>
      <c r="P94" s="89"/>
      <c r="Q94" s="90"/>
      <c r="R94" s="91"/>
    </row>
    <row r="95" spans="13:18" ht="14.25" x14ac:dyDescent="0.2">
      <c r="M95" s="87"/>
      <c r="N95" s="71"/>
      <c r="O95" s="88"/>
      <c r="P95" s="89"/>
      <c r="Q95" s="90"/>
      <c r="R95" s="91"/>
    </row>
    <row r="96" spans="13:18" ht="14.25" x14ac:dyDescent="0.2">
      <c r="M96" s="87"/>
      <c r="N96" s="71"/>
      <c r="O96" s="88"/>
      <c r="P96" s="89"/>
      <c r="Q96" s="90"/>
      <c r="R96" s="91"/>
    </row>
    <row r="97" spans="13:18" ht="14.25" x14ac:dyDescent="0.2">
      <c r="M97" s="87"/>
      <c r="N97" s="71"/>
      <c r="O97" s="88"/>
      <c r="P97" s="89"/>
      <c r="Q97" s="90"/>
      <c r="R97" s="91"/>
    </row>
    <row r="98" spans="13:18" ht="14.25" x14ac:dyDescent="0.2">
      <c r="M98" s="87"/>
      <c r="N98" s="71"/>
      <c r="O98" s="88"/>
      <c r="P98" s="89"/>
      <c r="Q98" s="90"/>
      <c r="R98" s="91"/>
    </row>
    <row r="99" spans="13:18" ht="14.25" x14ac:dyDescent="0.2">
      <c r="M99" s="87"/>
      <c r="N99" s="71"/>
      <c r="O99" s="88"/>
      <c r="P99" s="89"/>
      <c r="Q99" s="90"/>
      <c r="R99" s="91"/>
    </row>
    <row r="100" spans="13:18" ht="14.25" x14ac:dyDescent="0.2">
      <c r="M100" s="95"/>
      <c r="N100" s="71"/>
      <c r="O100" s="96"/>
      <c r="P100" s="97"/>
      <c r="Q100" s="98"/>
      <c r="R100" s="99"/>
    </row>
    <row r="101" spans="13:18" ht="14.25" x14ac:dyDescent="0.2">
      <c r="M101" s="100"/>
      <c r="N101" s="71"/>
      <c r="O101" s="72"/>
      <c r="P101" s="71"/>
      <c r="Q101" s="72"/>
      <c r="R101" s="72"/>
    </row>
    <row r="102" spans="13:18" ht="14.25" x14ac:dyDescent="0.2">
      <c r="M102" s="100"/>
      <c r="N102" s="71"/>
      <c r="O102" s="72"/>
      <c r="P102" s="71"/>
      <c r="Q102" s="72"/>
      <c r="R102" s="72"/>
    </row>
  </sheetData>
  <sheetProtection algorithmName="SHA-512" hashValue="jQNAbmeDBNgNJHFTdz25V/e+xq/HmQWor5UVyQGLpr1RcMXx3JJvLbVWje7MtOKzOhpib8KR4wddrZ2Gm9mvVQ==" saltValue="W8hJv39mYNRZNGDM8KjP3g==" spinCount="100000" sheet="1" objects="1" scenarios="1" formatCells="0" formatColumns="0" formatRows="0" insertRows="0" deleteRows="0"/>
  <protectedRanges>
    <protectedRange sqref="D3:E7 G3:H15 O3:R100 D8:D15" name="Range1"/>
    <protectedRange sqref="B3:B50" name="Range2"/>
    <protectedRange sqref="M3:M100" name="Range3"/>
    <protectedRange sqref="J4:K4" name="Range4"/>
  </protectedRanges>
  <mergeCells count="4">
    <mergeCell ref="J2:J3"/>
    <mergeCell ref="K2:K3"/>
    <mergeCell ref="A1:B1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FAA2-E180-40E5-8F76-A233C26DC129}">
  <sheetPr codeName="Sheet2"/>
  <dimension ref="A1:AI205"/>
  <sheetViews>
    <sheetView tabSelected="1" topLeftCell="D3" zoomScale="85" zoomScaleNormal="85" workbookViewId="0">
      <selection activeCell="T4" sqref="T4"/>
    </sheetView>
  </sheetViews>
  <sheetFormatPr defaultColWidth="9.125" defaultRowHeight="14.25" x14ac:dyDescent="0.2"/>
  <cols>
    <col min="1" max="1" width="23.875" style="1" customWidth="1"/>
    <col min="2" max="2" width="24.125" style="1" customWidth="1"/>
    <col min="3" max="4" width="14" style="1" customWidth="1"/>
    <col min="5" max="5" width="14.875" style="1" customWidth="1"/>
    <col min="6" max="6" width="20.25" style="1" customWidth="1"/>
    <col min="7" max="7" width="30" style="1" bestFit="1" customWidth="1"/>
    <col min="8" max="8" width="20.25" style="1" customWidth="1"/>
    <col min="9" max="9" width="18.875" style="28" bestFit="1" customWidth="1"/>
    <col min="10" max="10" width="20.375" style="1" bestFit="1" customWidth="1"/>
    <col min="11" max="12" width="16" style="1" customWidth="1"/>
    <col min="13" max="13" width="14.875" style="28" bestFit="1" customWidth="1"/>
    <col min="14" max="14" width="16.125" style="1" bestFit="1" customWidth="1"/>
    <col min="15" max="15" width="16.25" style="1" bestFit="1" customWidth="1"/>
    <col min="16" max="17" width="16.25" style="1" customWidth="1"/>
    <col min="18" max="18" width="14.875" style="1" bestFit="1" customWidth="1"/>
    <col min="19" max="19" width="16.75" style="28" customWidth="1"/>
    <col min="20" max="20" width="16.25" style="1" bestFit="1" customWidth="1"/>
    <col min="21" max="22" width="16.25" style="1" customWidth="1"/>
    <col min="23" max="23" width="14.875" style="1" bestFit="1" customWidth="1"/>
    <col min="24" max="24" width="16.125" style="1" bestFit="1" customWidth="1"/>
    <col min="25" max="25" width="16.25" style="1" bestFit="1" customWidth="1"/>
    <col min="26" max="26" width="12.75" style="1" customWidth="1"/>
    <col min="27" max="27" width="13" style="1" customWidth="1"/>
    <col min="28" max="28" width="12.625" style="1" customWidth="1"/>
    <col min="29" max="29" width="10.875" style="1" customWidth="1"/>
    <col min="30" max="31" width="15.125" style="1" customWidth="1"/>
    <col min="32" max="32" width="16" style="1" bestFit="1" customWidth="1"/>
    <col min="33" max="33" width="0" style="136" hidden="1" customWidth="1"/>
    <col min="34" max="34" width="9.25" style="136" hidden="1" customWidth="1"/>
    <col min="35" max="35" width="9.25" style="28" hidden="1" customWidth="1"/>
    <col min="36" max="16384" width="9.125" style="28"/>
  </cols>
  <sheetData>
    <row r="1" spans="1:35" hidden="1" x14ac:dyDescent="0.2">
      <c r="A1" s="71" t="str">
        <f>A4</f>
        <v>Project</v>
      </c>
      <c r="B1" s="71" t="str">
        <f t="shared" ref="B1:D1" si="0">B4</f>
        <v>Client</v>
      </c>
      <c r="C1" s="71" t="str">
        <f t="shared" si="0"/>
        <v>Contract Code</v>
      </c>
      <c r="D1" s="71" t="str">
        <f t="shared" si="0"/>
        <v>Signing Contract Date</v>
      </c>
      <c r="E1" s="71" t="str">
        <f>E4</f>
        <v>BUA | M2</v>
      </c>
      <c r="F1" s="71" t="str">
        <f t="shared" ref="F1:AF1" si="1">F4</f>
        <v>Lisence Type</v>
      </c>
      <c r="G1" s="71" t="str">
        <f t="shared" si="1"/>
        <v>Project Types</v>
      </c>
      <c r="H1" s="71" t="str">
        <f t="shared" si="1"/>
        <v>Project Requirment</v>
      </c>
      <c r="I1" s="71" t="str">
        <f t="shared" si="1"/>
        <v>Project Start Date | Contract</v>
      </c>
      <c r="J1" s="71" t="str">
        <f t="shared" si="1"/>
        <v>Estimated End Date</v>
      </c>
      <c r="K1" s="71" t="str">
        <f t="shared" si="1"/>
        <v>Stu. Team Leader</v>
      </c>
      <c r="L1" s="71" t="str">
        <f t="shared" si="1"/>
        <v>Stu. Team Leader Working Percentage</v>
      </c>
      <c r="M1" s="71" t="str">
        <f t="shared" si="1"/>
        <v>Stu. Start Date
| Contract</v>
      </c>
      <c r="N1" s="71" t="str">
        <f t="shared" si="1"/>
        <v>Stu. Duration 
| Contract</v>
      </c>
      <c r="O1" s="71" t="str">
        <f t="shared" si="1"/>
        <v>Stu. Allowed Modification (Times)</v>
      </c>
      <c r="P1" s="71" t="str">
        <f t="shared" si="1"/>
        <v>Stu. Modification days per time</v>
      </c>
      <c r="Q1" s="71" t="str">
        <f t="shared" si="1"/>
        <v>Design Team Leader</v>
      </c>
      <c r="R1" s="71" t="str">
        <f t="shared" si="1"/>
        <v>Design Team Leader Working Percentage</v>
      </c>
      <c r="S1" s="71" t="str">
        <f t="shared" si="1"/>
        <v>Design. Start Date
| Contract</v>
      </c>
      <c r="T1" s="71" t="str">
        <f t="shared" si="1"/>
        <v>Design Duration
| Contract</v>
      </c>
      <c r="U1" s="71" t="str">
        <f t="shared" si="1"/>
        <v>Design Allowed Modification (Times)</v>
      </c>
      <c r="V1" s="71" t="str">
        <f t="shared" si="1"/>
        <v>Design Modification days per time</v>
      </c>
      <c r="W1" s="71" t="str">
        <f t="shared" si="1"/>
        <v>Tech. Team Leader</v>
      </c>
      <c r="X1" s="71" t="str">
        <f t="shared" si="1"/>
        <v>Tech. Team Leader Working Percentage</v>
      </c>
      <c r="Y1" s="71" t="str">
        <f t="shared" si="1"/>
        <v>Tech. Start Date
| Contract</v>
      </c>
      <c r="Z1" s="71" t="str">
        <f t="shared" si="1"/>
        <v>Tech. Duration
| Contract</v>
      </c>
      <c r="AA1" s="71" t="str">
        <f t="shared" si="1"/>
        <v>Tech. Allowed Modification (Times)</v>
      </c>
      <c r="AB1" s="71" t="str">
        <f t="shared" si="1"/>
        <v>Tech. Modification days per time</v>
      </c>
      <c r="AC1" s="71" t="str">
        <f t="shared" si="1"/>
        <v>Stu. Cost %
| Contract Value</v>
      </c>
      <c r="AD1" s="71" t="str">
        <f t="shared" si="1"/>
        <v>Design Cost %
| Contract Value</v>
      </c>
      <c r="AE1" s="71" t="str">
        <f t="shared" si="1"/>
        <v>Tech. Cost %
| Contract Value</v>
      </c>
      <c r="AF1" s="71" t="str">
        <f t="shared" si="1"/>
        <v>Contract Value</v>
      </c>
      <c r="AG1" s="71" t="str">
        <f t="shared" ref="AG1:AI1" si="2">AG4</f>
        <v>TeamLeader1</v>
      </c>
      <c r="AH1" s="71" t="str">
        <f t="shared" si="2"/>
        <v>TeamLeader2</v>
      </c>
      <c r="AI1" s="71" t="str">
        <f t="shared" si="2"/>
        <v>TeamLeader3</v>
      </c>
    </row>
    <row r="2" spans="1:35" hidden="1" x14ac:dyDescent="0.2">
      <c r="A2" s="71">
        <v>1</v>
      </c>
      <c r="B2" s="71">
        <v>2</v>
      </c>
      <c r="C2" s="71">
        <v>3</v>
      </c>
      <c r="D2" s="71">
        <v>4</v>
      </c>
      <c r="E2" s="71">
        <v>5</v>
      </c>
      <c r="F2" s="71">
        <v>6</v>
      </c>
      <c r="G2" s="71">
        <v>7</v>
      </c>
      <c r="H2" s="71">
        <v>8</v>
      </c>
      <c r="I2" s="71">
        <v>9</v>
      </c>
      <c r="J2" s="71">
        <v>10</v>
      </c>
      <c r="K2" s="71">
        <v>11</v>
      </c>
      <c r="L2" s="71">
        <v>12</v>
      </c>
      <c r="M2" s="71">
        <v>13</v>
      </c>
      <c r="N2" s="71">
        <v>14</v>
      </c>
      <c r="O2" s="71">
        <v>15</v>
      </c>
      <c r="P2" s="71">
        <v>16</v>
      </c>
      <c r="Q2" s="71">
        <v>17</v>
      </c>
      <c r="R2" s="71">
        <v>18</v>
      </c>
      <c r="S2" s="71">
        <v>19</v>
      </c>
      <c r="T2" s="71">
        <v>20</v>
      </c>
      <c r="U2" s="71">
        <v>21</v>
      </c>
      <c r="V2" s="71">
        <v>22</v>
      </c>
      <c r="W2" s="71">
        <v>23</v>
      </c>
      <c r="X2" s="71">
        <v>24</v>
      </c>
      <c r="Y2" s="71">
        <v>25</v>
      </c>
      <c r="Z2" s="71">
        <v>26</v>
      </c>
      <c r="AA2" s="71">
        <v>27</v>
      </c>
      <c r="AB2" s="71">
        <v>28</v>
      </c>
      <c r="AC2" s="71">
        <v>29</v>
      </c>
      <c r="AD2" s="71">
        <v>30</v>
      </c>
      <c r="AE2" s="71">
        <v>31</v>
      </c>
      <c r="AF2" s="71">
        <v>32</v>
      </c>
      <c r="AG2" s="71">
        <v>33</v>
      </c>
      <c r="AH2" s="71">
        <v>34</v>
      </c>
      <c r="AI2" s="71">
        <v>35</v>
      </c>
    </row>
    <row r="3" spans="1:35" ht="35.25" customHeight="1" x14ac:dyDescent="0.25">
      <c r="A3" s="101" t="s">
        <v>69</v>
      </c>
      <c r="B3" s="173" t="s">
        <v>69</v>
      </c>
      <c r="C3" s="173"/>
      <c r="D3" s="177" t="s">
        <v>1</v>
      </c>
      <c r="E3" s="177"/>
      <c r="F3" s="101"/>
      <c r="G3" s="101"/>
      <c r="H3" s="101"/>
      <c r="I3" s="101"/>
      <c r="J3" s="101"/>
      <c r="K3" s="174" t="s">
        <v>70</v>
      </c>
      <c r="L3" s="174"/>
      <c r="M3" s="174"/>
      <c r="N3" s="174"/>
      <c r="O3" s="174"/>
      <c r="P3" s="174"/>
      <c r="Q3" s="176" t="s">
        <v>71</v>
      </c>
      <c r="R3" s="176"/>
      <c r="S3" s="176"/>
      <c r="T3" s="176"/>
      <c r="U3" s="176"/>
      <c r="V3" s="176"/>
      <c r="W3" s="175" t="s">
        <v>72</v>
      </c>
      <c r="X3" s="175"/>
      <c r="Y3" s="175"/>
      <c r="Z3" s="175"/>
      <c r="AA3" s="175"/>
      <c r="AB3" s="175"/>
      <c r="AC3" s="71"/>
      <c r="AD3" s="71"/>
      <c r="AE3" s="71"/>
      <c r="AF3" s="71"/>
      <c r="AG3" s="139"/>
      <c r="AH3" s="139"/>
      <c r="AI3" s="71"/>
    </row>
    <row r="4" spans="1:35" s="32" customFormat="1" ht="59.25" customHeight="1" x14ac:dyDescent="0.2">
      <c r="A4" s="102" t="s">
        <v>73</v>
      </c>
      <c r="B4" s="102" t="s">
        <v>19</v>
      </c>
      <c r="C4" s="102" t="s">
        <v>74</v>
      </c>
      <c r="D4" s="102" t="s">
        <v>75</v>
      </c>
      <c r="E4" s="102" t="s">
        <v>76</v>
      </c>
      <c r="F4" s="102" t="s">
        <v>7</v>
      </c>
      <c r="G4" s="102" t="s">
        <v>8</v>
      </c>
      <c r="H4" s="102" t="s">
        <v>77</v>
      </c>
      <c r="I4" s="102" t="s">
        <v>78</v>
      </c>
      <c r="J4" s="102" t="s">
        <v>79</v>
      </c>
      <c r="K4" s="102" t="s">
        <v>80</v>
      </c>
      <c r="L4" s="102" t="s">
        <v>81</v>
      </c>
      <c r="M4" s="102" t="s">
        <v>82</v>
      </c>
      <c r="N4" s="2" t="s">
        <v>83</v>
      </c>
      <c r="O4" s="102" t="s">
        <v>84</v>
      </c>
      <c r="P4" s="102" t="s">
        <v>85</v>
      </c>
      <c r="Q4" s="102" t="s">
        <v>86</v>
      </c>
      <c r="R4" s="102" t="s">
        <v>87</v>
      </c>
      <c r="S4" s="102" t="s">
        <v>88</v>
      </c>
      <c r="T4" s="102" t="s">
        <v>89</v>
      </c>
      <c r="U4" s="102" t="s">
        <v>90</v>
      </c>
      <c r="V4" s="102" t="s">
        <v>91</v>
      </c>
      <c r="W4" s="102" t="s">
        <v>92</v>
      </c>
      <c r="X4" s="102" t="s">
        <v>93</v>
      </c>
      <c r="Y4" s="102" t="s">
        <v>94</v>
      </c>
      <c r="Z4" s="102" t="s">
        <v>95</v>
      </c>
      <c r="AA4" s="102" t="s">
        <v>96</v>
      </c>
      <c r="AB4" s="102" t="s">
        <v>97</v>
      </c>
      <c r="AC4" s="102" t="s">
        <v>98</v>
      </c>
      <c r="AD4" s="102" t="s">
        <v>99</v>
      </c>
      <c r="AE4" s="102" t="s">
        <v>100</v>
      </c>
      <c r="AF4" s="102" t="s">
        <v>101</v>
      </c>
      <c r="AG4" s="137" t="s">
        <v>102</v>
      </c>
      <c r="AH4" s="137" t="s">
        <v>103</v>
      </c>
      <c r="AI4" s="135" t="s">
        <v>104</v>
      </c>
    </row>
    <row r="5" spans="1:35" x14ac:dyDescent="0.2">
      <c r="A5" t="s">
        <v>105</v>
      </c>
      <c r="B5" t="s">
        <v>106</v>
      </c>
      <c r="C5" s="103" t="s">
        <v>107</v>
      </c>
      <c r="D5" s="104">
        <v>45574</v>
      </c>
      <c r="E5" s="103">
        <v>7394</v>
      </c>
      <c r="F5" s="105" t="s">
        <v>29</v>
      </c>
      <c r="G5" s="105" t="s">
        <v>22</v>
      </c>
      <c r="H5" s="33" t="s">
        <v>108</v>
      </c>
      <c r="I5" s="106">
        <f>IF(الجدول1[[#This Row],[Signing Contract Date]]=0,0,WORKDAY.INTL(الجدول1[[#This Row],[Signing Contract Date]],List!$J$4,7,List!$M$3:$M$100))</f>
        <v>45588</v>
      </c>
      <c r="J5" s="107">
        <f>IF(Z5=0,0,WORKDAY.INTL(Y5,Z5+(AA5*AB5),7,List!$M$3:$M$100))</f>
        <v>45896</v>
      </c>
      <c r="K5" s="108"/>
      <c r="L5" s="109">
        <v>0.25</v>
      </c>
      <c r="M5" s="106">
        <f>الجدول1[[#This Row],[Project Start Date | Contract]]</f>
        <v>45588</v>
      </c>
      <c r="N5" s="110">
        <v>15</v>
      </c>
      <c r="O5" s="110">
        <v>0</v>
      </c>
      <c r="P5" s="110">
        <v>0</v>
      </c>
      <c r="Q5" s="110" t="s">
        <v>109</v>
      </c>
      <c r="R5" s="109">
        <v>0.25</v>
      </c>
      <c r="S5" s="31">
        <f>IF(M5=0,0, WORKDAY.INTL( WORKDAY.INTL(M5,N5+(O5*P5),7,List!$M$3:$M$100),List!$K$4,7,List!$M$3:$M$100))</f>
        <v>45616</v>
      </c>
      <c r="T5" s="110">
        <v>70</v>
      </c>
      <c r="U5" s="110">
        <v>2</v>
      </c>
      <c r="V5" s="110">
        <f>10</f>
        <v>10</v>
      </c>
      <c r="W5" s="110"/>
      <c r="X5" s="109">
        <v>0</v>
      </c>
      <c r="Y5" s="35">
        <f>IF(S5=0,0,WORKDAY.INTL(S5,T5+(U5*V5),7,List!$M$3:$M$100))</f>
        <v>45742</v>
      </c>
      <c r="Z5" s="110">
        <v>85</v>
      </c>
      <c r="AA5" s="110">
        <f>2</f>
        <v>2</v>
      </c>
      <c r="AB5" s="110">
        <f>10</f>
        <v>10</v>
      </c>
      <c r="AC5" s="109">
        <v>0.15</v>
      </c>
      <c r="AD5" s="109">
        <v>0.45</v>
      </c>
      <c r="AE5" s="109">
        <v>0.4</v>
      </c>
      <c r="AF5" s="111">
        <v>3500000</v>
      </c>
      <c r="AG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" s="138">
        <f>IF(الجدول1[[#This Row],[Design Team Leader]]=0,0,INDEX(Employees!$E:$E,MATCH(الجدول1[[#This Row],[Design Team Leader]],Employees!$C:$C,0))*الجدول1[[#This Row],[Design Team Leader Working Percentage]])</f>
        <v>8603.9424999999992</v>
      </c>
      <c r="AI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" spans="1:35" x14ac:dyDescent="0.2">
      <c r="A6" t="s">
        <v>110</v>
      </c>
      <c r="B6" t="s">
        <v>111</v>
      </c>
      <c r="C6" t="s">
        <v>112</v>
      </c>
      <c r="D6" s="104">
        <v>45635</v>
      </c>
      <c r="E6" s="112">
        <v>38881.199999999997</v>
      </c>
      <c r="F6" s="105" t="s">
        <v>46</v>
      </c>
      <c r="G6" s="103" t="s">
        <v>40</v>
      </c>
      <c r="H6" s="34"/>
      <c r="I6" s="106">
        <f>IF(الجدول1[[#This Row],[Signing Contract Date]]=0,0,WORKDAY.INTL(الجدول1[[#This Row],[Signing Contract Date]],List!$J$4,7,List!$M$3:$M$100))</f>
        <v>45649</v>
      </c>
      <c r="J6" s="107">
        <f>IF(Z6=0,0,WORKDAY.INTL(Y6,Z6+(AA6*AB6),7,List!$M$3:$M$100))</f>
        <v>45922</v>
      </c>
      <c r="K6" s="108"/>
      <c r="L6" s="109">
        <v>0.25</v>
      </c>
      <c r="M6" s="106">
        <f>الجدول1[[#This Row],[Project Start Date | Contract]]</f>
        <v>45649</v>
      </c>
      <c r="N6" s="110">
        <v>15</v>
      </c>
      <c r="O6" s="110">
        <v>0</v>
      </c>
      <c r="P6" s="110">
        <v>0</v>
      </c>
      <c r="Q6" s="110" t="s">
        <v>109</v>
      </c>
      <c r="R6" s="109">
        <v>0.3</v>
      </c>
      <c r="S6" s="31">
        <f>IF(M6=0,0, WORKDAY.INTL( WORKDAY.INTL(M6,N6+(O6*P6),7,List!$M$3:$M$100),List!$K$4,7,List!$M$3:$M$100))</f>
        <v>45677</v>
      </c>
      <c r="T6" s="110">
        <v>70</v>
      </c>
      <c r="U6" s="110">
        <v>2</v>
      </c>
      <c r="V6" s="110">
        <v>10</v>
      </c>
      <c r="W6" s="110"/>
      <c r="X6" s="109">
        <v>0</v>
      </c>
      <c r="Y6" s="35">
        <f>IF(S6=0,0,WORKDAY.INTL(S6,T6+(U6*V6),7,List!$M$3:$M$100))</f>
        <v>45806</v>
      </c>
      <c r="Z6" s="110">
        <v>60</v>
      </c>
      <c r="AA6" s="110">
        <v>2</v>
      </c>
      <c r="AB6" s="110">
        <v>10</v>
      </c>
      <c r="AC6" s="109">
        <v>0.15</v>
      </c>
      <c r="AD6" s="109">
        <v>0.45</v>
      </c>
      <c r="AE6" s="109">
        <v>0.4</v>
      </c>
      <c r="AF6" s="111">
        <v>1500000</v>
      </c>
      <c r="AG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" s="138">
        <f>IF(الجدول1[[#This Row],[Design Team Leader]]=0,0,INDEX(Employees!$E:$E,MATCH(الجدول1[[#This Row],[Design Team Leader]],Employees!$C:$C,0))*الجدول1[[#This Row],[Design Team Leader Working Percentage]])</f>
        <v>10324.730999999998</v>
      </c>
      <c r="AI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" spans="1:35" x14ac:dyDescent="0.2">
      <c r="A7" s="69" t="s">
        <v>113</v>
      </c>
      <c r="B7" t="s">
        <v>114</v>
      </c>
      <c r="C7" s="103" t="s">
        <v>115</v>
      </c>
      <c r="D7" s="104">
        <v>45517</v>
      </c>
      <c r="E7" s="103">
        <v>24743.599999999999</v>
      </c>
      <c r="F7" s="105" t="s">
        <v>29</v>
      </c>
      <c r="G7" s="103" t="s">
        <v>22</v>
      </c>
      <c r="H7"/>
      <c r="I7" s="106">
        <f>IF(الجدول1[[#This Row],[Signing Contract Date]]=0,0,WORKDAY.INTL(الجدول1[[#This Row],[Signing Contract Date]],List!$J$4,7,List!$M$3:$M$100))</f>
        <v>45531</v>
      </c>
      <c r="J7" s="107">
        <f>IF(Z7=0,0,WORKDAY.INTL(Y7,Z7+(AA7*AB7),7,List!$M$3:$M$100))</f>
        <v>45802</v>
      </c>
      <c r="K7" s="108"/>
      <c r="L7" s="109">
        <v>0.25</v>
      </c>
      <c r="M7" s="106">
        <f>الجدول1[[#This Row],[Project Start Date | Contract]]</f>
        <v>45531</v>
      </c>
      <c r="N7" s="110">
        <v>15</v>
      </c>
      <c r="O7" s="110">
        <v>0</v>
      </c>
      <c r="P7" s="110">
        <v>0</v>
      </c>
      <c r="Q7" s="110" t="s">
        <v>116</v>
      </c>
      <c r="R7" s="109"/>
      <c r="S7" s="31">
        <f>IF(M7=0,0, WORKDAY.INTL( WORKDAY.INTL(M7,N7+(O7*P7),7,List!$M$3:$M$100),List!$K$4,7,List!$M$3:$M$100))</f>
        <v>45559</v>
      </c>
      <c r="T7" s="110">
        <v>70</v>
      </c>
      <c r="U7" s="110">
        <v>2</v>
      </c>
      <c r="V7" s="110">
        <v>10</v>
      </c>
      <c r="W7" s="110"/>
      <c r="X7" s="109">
        <v>1</v>
      </c>
      <c r="Y7" s="35">
        <f>IF(S7=0,0,WORKDAY.INTL(S7,T7+(U7*V7),7,List!$M$3:$M$100))</f>
        <v>45685</v>
      </c>
      <c r="Z7" s="110">
        <v>60</v>
      </c>
      <c r="AA7" s="110">
        <v>2</v>
      </c>
      <c r="AB7" s="110">
        <v>10</v>
      </c>
      <c r="AC7" s="109">
        <v>0.15</v>
      </c>
      <c r="AD7" s="109">
        <v>0.45</v>
      </c>
      <c r="AE7" s="109">
        <v>0.4</v>
      </c>
      <c r="AF7" s="111">
        <v>1500000</v>
      </c>
      <c r="AG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" spans="1:35" x14ac:dyDescent="0.2">
      <c r="A8" s="103" t="s">
        <v>117</v>
      </c>
      <c r="B8" s="103" t="s">
        <v>118</v>
      </c>
      <c r="C8" s="103" t="s">
        <v>119</v>
      </c>
      <c r="D8" s="104">
        <v>45806</v>
      </c>
      <c r="E8" s="103">
        <v>29292</v>
      </c>
      <c r="F8" s="105" t="s">
        <v>29</v>
      </c>
      <c r="G8" s="103" t="s">
        <v>40</v>
      </c>
      <c r="H8" s="103"/>
      <c r="I8" s="106">
        <f>IF(الجدول1[[#This Row],[Signing Contract Date]]=0,0,WORKDAY.INTL(الجدول1[[#This Row],[Signing Contract Date]],List!$J$4,7,List!$M$3:$M$100))</f>
        <v>45824</v>
      </c>
      <c r="J8" s="107">
        <f>IF(Z8=0,0,WORKDAY.INTL(Y8,Z8+(AA8*AB8),7,List!$M$3:$M$100))</f>
        <v>46092</v>
      </c>
      <c r="K8" s="108"/>
      <c r="L8" s="109">
        <v>0.25</v>
      </c>
      <c r="M8" s="106">
        <f>الجدول1[[#This Row],[Project Start Date | Contract]]</f>
        <v>45824</v>
      </c>
      <c r="N8" s="110">
        <v>15</v>
      </c>
      <c r="O8" s="110">
        <v>0</v>
      </c>
      <c r="P8" s="110">
        <v>0</v>
      </c>
      <c r="Q8" s="110" t="s">
        <v>109</v>
      </c>
      <c r="R8" s="109">
        <v>0.3</v>
      </c>
      <c r="S8" s="31">
        <f>IF(M8=0,0, WORKDAY.INTL( WORKDAY.INTL(M8,N8+(O8*P8),7,List!$M$3:$M$100),List!$K$4,7,List!$M$3:$M$100))</f>
        <v>45852</v>
      </c>
      <c r="T8" s="110">
        <v>70</v>
      </c>
      <c r="U8" s="110">
        <v>2</v>
      </c>
      <c r="V8" s="110">
        <v>10</v>
      </c>
      <c r="W8" s="110"/>
      <c r="X8" s="109">
        <v>0</v>
      </c>
      <c r="Y8" s="35">
        <f>IF(S8=0,0,WORKDAY.INTL(S8,T8+(U8*V8),7,List!$M$3:$M$100))</f>
        <v>45979</v>
      </c>
      <c r="Z8" s="110">
        <v>60</v>
      </c>
      <c r="AA8" s="110">
        <v>2</v>
      </c>
      <c r="AB8" s="110">
        <v>10</v>
      </c>
      <c r="AC8" s="109">
        <v>0.15</v>
      </c>
      <c r="AD8" s="109">
        <v>0.45</v>
      </c>
      <c r="AE8" s="109">
        <v>0.4</v>
      </c>
      <c r="AF8" s="111">
        <v>1500000</v>
      </c>
      <c r="AG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" s="138">
        <f>IF(الجدول1[[#This Row],[Design Team Leader]]=0,0,INDEX(Employees!$E:$E,MATCH(الجدول1[[#This Row],[Design Team Leader]],Employees!$C:$C,0))*الجدول1[[#This Row],[Design Team Leader Working Percentage]])</f>
        <v>10324.730999999998</v>
      </c>
      <c r="AI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" spans="1:35" x14ac:dyDescent="0.2">
      <c r="A9" s="103"/>
      <c r="B9" s="103"/>
      <c r="C9" s="103"/>
      <c r="D9" s="104"/>
      <c r="E9" s="103"/>
      <c r="F9" s="105"/>
      <c r="G9" s="103"/>
      <c r="H9" s="103"/>
      <c r="I9" s="106">
        <f>IF(الجدول1[[#This Row],[Signing Contract Date]]=0,0,WORKDAY.INTL(الجدول1[[#This Row],[Signing Contract Date]],List!$J$4,7,List!$M$3:$M$100))</f>
        <v>0</v>
      </c>
      <c r="J9" s="107">
        <f>IF(Z9=0,0,WORKDAY.INTL(Y9,Z9+(AA9*AB9),7,List!$M$3:$M$100))</f>
        <v>0</v>
      </c>
      <c r="K9" s="108"/>
      <c r="L9" s="109"/>
      <c r="M9" s="106">
        <f>الجدول1[[#This Row],[Project Start Date | Contract]]</f>
        <v>0</v>
      </c>
      <c r="N9" s="110"/>
      <c r="O9" s="110"/>
      <c r="P9" s="110"/>
      <c r="Q9" s="110"/>
      <c r="R9" s="109"/>
      <c r="S9" s="31">
        <f>IF(M9=0,0, WORKDAY.INTL( WORKDAY.INTL(M9,N9+(O9*P9),7,List!$M$3:$M$100),List!$K$4,7,List!$M$3:$M$100))</f>
        <v>0</v>
      </c>
      <c r="T9" s="110"/>
      <c r="U9" s="110"/>
      <c r="V9" s="110"/>
      <c r="W9" s="110"/>
      <c r="X9" s="109"/>
      <c r="Y9" s="35">
        <f>IF(S9=0,0,WORKDAY.INTL(S9,T9+(U9*V9),7,List!$M$3:$M$100))</f>
        <v>0</v>
      </c>
      <c r="Z9" s="110"/>
      <c r="AA9" s="110"/>
      <c r="AB9" s="110"/>
      <c r="AC9" s="109"/>
      <c r="AD9" s="109"/>
      <c r="AE9" s="109"/>
      <c r="AF9" s="111"/>
      <c r="AG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" spans="1:35" x14ac:dyDescent="0.2">
      <c r="A10" s="103"/>
      <c r="B10" s="103"/>
      <c r="C10" s="103"/>
      <c r="D10" s="104"/>
      <c r="E10" s="103"/>
      <c r="F10" s="105"/>
      <c r="G10" s="103"/>
      <c r="H10" s="103"/>
      <c r="I10" s="106">
        <f>IF(الجدول1[[#This Row],[Signing Contract Date]]=0,0,WORKDAY.INTL(الجدول1[[#This Row],[Signing Contract Date]],List!$J$4,7,List!$M$3:$M$100))</f>
        <v>0</v>
      </c>
      <c r="J10" s="107">
        <f>IF(Z10=0,0,WORKDAY.INTL(Y10,Z10+(AA10*AB10),7,List!$M$3:$M$100))</f>
        <v>0</v>
      </c>
      <c r="K10" s="108"/>
      <c r="L10" s="109"/>
      <c r="M10" s="106">
        <f>الجدول1[[#This Row],[Project Start Date | Contract]]</f>
        <v>0</v>
      </c>
      <c r="N10" s="110"/>
      <c r="O10" s="110"/>
      <c r="P10" s="110"/>
      <c r="Q10" s="110"/>
      <c r="R10" s="109"/>
      <c r="S10" s="31">
        <f>IF(M10=0,0, WORKDAY.INTL( WORKDAY.INTL(M10,N10+(O10*P10),7,List!$M$3:$M$100),List!$K$4,7,List!$M$3:$M$100))</f>
        <v>0</v>
      </c>
      <c r="T10" s="110"/>
      <c r="U10" s="110"/>
      <c r="V10" s="110"/>
      <c r="W10" s="110"/>
      <c r="X10" s="109"/>
      <c r="Y10" s="35">
        <f>IF(S10=0,0,WORKDAY.INTL(S10,T10+(U10*V10),7,List!$M$3:$M$100))</f>
        <v>0</v>
      </c>
      <c r="Z10" s="110"/>
      <c r="AA10" s="110"/>
      <c r="AB10" s="110"/>
      <c r="AC10" s="109"/>
      <c r="AD10" s="109"/>
      <c r="AE10" s="109"/>
      <c r="AF10" s="111"/>
      <c r="AG1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" spans="1:35" x14ac:dyDescent="0.2">
      <c r="A11" s="103"/>
      <c r="B11" s="103"/>
      <c r="C11" s="103"/>
      <c r="D11" s="104"/>
      <c r="E11" s="103"/>
      <c r="F11" s="105"/>
      <c r="G11" s="103"/>
      <c r="H11" s="103"/>
      <c r="I11" s="106">
        <f>IF(الجدول1[[#This Row],[Signing Contract Date]]=0,0,WORKDAY.INTL(الجدول1[[#This Row],[Signing Contract Date]],List!$J$4,7,List!$M$3:$M$100))</f>
        <v>0</v>
      </c>
      <c r="J11" s="107">
        <f>IF(Z11=0,0,WORKDAY.INTL(Y11,Z11+(AA11*AB11),7,List!$M$3:$M$100))</f>
        <v>0</v>
      </c>
      <c r="K11" s="108"/>
      <c r="L11" s="109"/>
      <c r="M11" s="106">
        <f>الجدول1[[#This Row],[Project Start Date | Contract]]</f>
        <v>0</v>
      </c>
      <c r="N11" s="110"/>
      <c r="O11" s="110"/>
      <c r="P11" s="110"/>
      <c r="Q11" s="110"/>
      <c r="R11" s="109"/>
      <c r="S11" s="31">
        <f>IF(M11=0,0, WORKDAY.INTL( WORKDAY.INTL(M11,N11+(O11*P11),7,List!$M$3:$M$100),List!$K$4,7,List!$M$3:$M$100))</f>
        <v>0</v>
      </c>
      <c r="T11" s="110"/>
      <c r="U11" s="110"/>
      <c r="V11" s="110"/>
      <c r="W11" s="110"/>
      <c r="X11" s="109"/>
      <c r="Y11" s="35">
        <f>IF(S11=0,0,WORKDAY.INTL(S11,T11+(U11*V11),7,List!$M$3:$M$100))</f>
        <v>0</v>
      </c>
      <c r="Z11" s="110"/>
      <c r="AA11" s="110"/>
      <c r="AB11" s="110"/>
      <c r="AC11" s="109"/>
      <c r="AD11" s="109"/>
      <c r="AE11" s="109"/>
      <c r="AF11" s="111"/>
      <c r="AG1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" spans="1:35" x14ac:dyDescent="0.2">
      <c r="A12" s="103"/>
      <c r="B12" s="103"/>
      <c r="C12" s="103"/>
      <c r="D12" s="104"/>
      <c r="E12" s="103"/>
      <c r="F12" s="105"/>
      <c r="G12" s="103"/>
      <c r="H12" s="103"/>
      <c r="I12" s="106">
        <f>IF(الجدول1[[#This Row],[Signing Contract Date]]=0,0,WORKDAY.INTL(الجدول1[[#This Row],[Signing Contract Date]],List!$J$4,7,List!$M$3:$M$100))</f>
        <v>0</v>
      </c>
      <c r="J12" s="107">
        <f>IF(Z12=0,0,WORKDAY.INTL(Y12,Z12+(AA12*AB12),7,List!$M$3:$M$100))</f>
        <v>0</v>
      </c>
      <c r="K12" s="108"/>
      <c r="L12" s="109"/>
      <c r="M12" s="106">
        <f>الجدول1[[#This Row],[Project Start Date | Contract]]</f>
        <v>0</v>
      </c>
      <c r="N12" s="110"/>
      <c r="O12" s="110"/>
      <c r="P12" s="110"/>
      <c r="Q12" s="110"/>
      <c r="R12" s="109"/>
      <c r="S12" s="31">
        <f>IF(M12=0,0, WORKDAY.INTL( WORKDAY.INTL(M12,N12+(O12*P12),7,List!$M$3:$M$100),List!$K$4,7,List!$M$3:$M$100))</f>
        <v>0</v>
      </c>
      <c r="T12" s="110"/>
      <c r="U12" s="110"/>
      <c r="V12" s="110"/>
      <c r="W12" s="110"/>
      <c r="X12" s="109"/>
      <c r="Y12" s="35">
        <f>IF(S12=0,0,WORKDAY.INTL(S12,T12+(U12*V12),7,List!$M$3:$M$100))</f>
        <v>0</v>
      </c>
      <c r="Z12" s="110"/>
      <c r="AA12" s="110"/>
      <c r="AB12" s="110"/>
      <c r="AC12" s="109"/>
      <c r="AD12" s="109"/>
      <c r="AE12" s="109"/>
      <c r="AF12" s="111"/>
      <c r="AG1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" spans="1:35" x14ac:dyDescent="0.2">
      <c r="A13" s="103"/>
      <c r="B13" s="103"/>
      <c r="C13" s="103"/>
      <c r="D13" s="104"/>
      <c r="E13" s="103"/>
      <c r="F13" s="105"/>
      <c r="G13" s="103"/>
      <c r="H13" s="103"/>
      <c r="I13" s="106">
        <f>IF(الجدول1[[#This Row],[Signing Contract Date]]=0,0,WORKDAY.INTL(الجدول1[[#This Row],[Signing Contract Date]],List!$J$4,7,List!$M$3:$M$100))</f>
        <v>0</v>
      </c>
      <c r="J13" s="107">
        <f>IF(Z13=0,0,WORKDAY.INTL(Y13,Z13+(AA13*AB13),7,List!$M$3:$M$100))</f>
        <v>0</v>
      </c>
      <c r="K13" s="108"/>
      <c r="L13" s="109"/>
      <c r="M13" s="106">
        <f>الجدول1[[#This Row],[Project Start Date | Contract]]</f>
        <v>0</v>
      </c>
      <c r="N13" s="110"/>
      <c r="O13" s="110"/>
      <c r="P13" s="110"/>
      <c r="Q13" s="110"/>
      <c r="R13" s="109"/>
      <c r="S13" s="31">
        <f>IF(M13=0,0, WORKDAY.INTL( WORKDAY.INTL(M13,N13+(O13*P13),7,List!$M$3:$M$100),List!$K$4,7,List!$M$3:$M$100))</f>
        <v>0</v>
      </c>
      <c r="T13" s="110"/>
      <c r="U13" s="110"/>
      <c r="V13" s="110"/>
      <c r="W13" s="110"/>
      <c r="X13" s="109"/>
      <c r="Y13" s="35">
        <f>IF(S13=0,0,WORKDAY.INTL(S13,T13+(U13*V13),7,List!$M$3:$M$100))</f>
        <v>0</v>
      </c>
      <c r="Z13" s="110"/>
      <c r="AA13" s="110"/>
      <c r="AB13" s="110"/>
      <c r="AC13" s="109"/>
      <c r="AD13" s="109"/>
      <c r="AE13" s="109"/>
      <c r="AF13" s="111"/>
      <c r="AG1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" spans="1:35" x14ac:dyDescent="0.2">
      <c r="A14" s="103"/>
      <c r="B14" s="103"/>
      <c r="C14" s="103"/>
      <c r="D14" s="104"/>
      <c r="E14" s="103"/>
      <c r="F14" s="105"/>
      <c r="G14" s="103"/>
      <c r="H14" s="103"/>
      <c r="I14" s="106">
        <f>IF(الجدول1[[#This Row],[Signing Contract Date]]=0,0,WORKDAY.INTL(الجدول1[[#This Row],[Signing Contract Date]],List!$J$4,7,List!$M$3:$M$100))</f>
        <v>0</v>
      </c>
      <c r="J14" s="107">
        <f>IF(Z14=0,0,WORKDAY.INTL(Y14,Z14+(AA14*AB14),7,List!$M$3:$M$100))</f>
        <v>0</v>
      </c>
      <c r="K14" s="108"/>
      <c r="L14" s="109"/>
      <c r="M14" s="106">
        <f>الجدول1[[#This Row],[Project Start Date | Contract]]</f>
        <v>0</v>
      </c>
      <c r="N14" s="110"/>
      <c r="O14" s="110"/>
      <c r="P14" s="110"/>
      <c r="Q14" s="110"/>
      <c r="R14" s="109"/>
      <c r="S14" s="31">
        <f>IF(M14=0,0, WORKDAY.INTL( WORKDAY.INTL(M14,N14+(O14*P14),7,List!$M$3:$M$100),List!$K$4,7,List!$M$3:$M$100))</f>
        <v>0</v>
      </c>
      <c r="T14" s="110"/>
      <c r="U14" s="110"/>
      <c r="V14" s="110"/>
      <c r="W14" s="110"/>
      <c r="X14" s="109"/>
      <c r="Y14" s="35">
        <f>IF(S14=0,0,WORKDAY.INTL(S14,T14+(U14*V14),7,List!$M$3:$M$100))</f>
        <v>0</v>
      </c>
      <c r="Z14" s="110"/>
      <c r="AA14" s="110"/>
      <c r="AB14" s="110"/>
      <c r="AC14" s="109"/>
      <c r="AD14" s="109"/>
      <c r="AE14" s="109"/>
      <c r="AF14" s="111"/>
      <c r="AG1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" spans="1:35" x14ac:dyDescent="0.2">
      <c r="A15" s="103"/>
      <c r="B15" s="103"/>
      <c r="C15" s="103"/>
      <c r="D15" s="104"/>
      <c r="E15" s="103"/>
      <c r="F15" s="105"/>
      <c r="G15" s="103"/>
      <c r="H15" s="103"/>
      <c r="I15" s="106">
        <f>IF(الجدول1[[#This Row],[Signing Contract Date]]=0,0,WORKDAY.INTL(الجدول1[[#This Row],[Signing Contract Date]],List!$J$4,7,List!$M$3:$M$100))</f>
        <v>0</v>
      </c>
      <c r="J15" s="107">
        <f>IF(Z15=0,0,WORKDAY.INTL(Y15,Z15+(AA15*AB15),7,List!$M$3:$M$100))</f>
        <v>0</v>
      </c>
      <c r="K15" s="108"/>
      <c r="L15" s="109"/>
      <c r="M15" s="106">
        <f>الجدول1[[#This Row],[Project Start Date | Contract]]</f>
        <v>0</v>
      </c>
      <c r="N15" s="110"/>
      <c r="O15" s="110"/>
      <c r="P15" s="110"/>
      <c r="Q15" s="110"/>
      <c r="R15" s="109"/>
      <c r="S15" s="31">
        <f>IF(M15=0,0, WORKDAY.INTL( WORKDAY.INTL(M15,N15+(O15*P15),7,List!$M$3:$M$100),List!$K$4,7,List!$M$3:$M$100))</f>
        <v>0</v>
      </c>
      <c r="T15" s="110"/>
      <c r="U15" s="110"/>
      <c r="V15" s="110"/>
      <c r="W15" s="110"/>
      <c r="X15" s="109"/>
      <c r="Y15" s="35">
        <f>IF(S15=0,0,WORKDAY.INTL(S15,T15+(U15*V15),7,List!$M$3:$M$100))</f>
        <v>0</v>
      </c>
      <c r="Z15" s="110"/>
      <c r="AA15" s="110"/>
      <c r="AB15" s="110"/>
      <c r="AC15" s="109"/>
      <c r="AD15" s="109"/>
      <c r="AE15" s="109"/>
      <c r="AF15" s="111"/>
      <c r="AG1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" spans="1:35" x14ac:dyDescent="0.2">
      <c r="A16" s="103"/>
      <c r="B16" s="103"/>
      <c r="C16" s="103"/>
      <c r="D16" s="104"/>
      <c r="E16" s="103"/>
      <c r="F16" s="105"/>
      <c r="G16" s="103"/>
      <c r="H16" s="103"/>
      <c r="I16" s="106">
        <f>IF(الجدول1[[#This Row],[Signing Contract Date]]=0,0,WORKDAY.INTL(الجدول1[[#This Row],[Signing Contract Date]],List!$J$4,7,List!$M$3:$M$100))</f>
        <v>0</v>
      </c>
      <c r="J16" s="107">
        <f>IF(Z16=0,0,WORKDAY.INTL(Y16,Z16+(AA16*AB16),7,List!$M$3:$M$100))</f>
        <v>0</v>
      </c>
      <c r="K16" s="108"/>
      <c r="L16" s="109"/>
      <c r="M16" s="106">
        <f>الجدول1[[#This Row],[Project Start Date | Contract]]</f>
        <v>0</v>
      </c>
      <c r="N16" s="110"/>
      <c r="O16" s="110"/>
      <c r="P16" s="110"/>
      <c r="Q16" s="110"/>
      <c r="R16" s="109"/>
      <c r="S16" s="31">
        <f>IF(M16=0,0, WORKDAY.INTL( WORKDAY.INTL(M16,N16+(O16*P16),7,List!$M$3:$M$100),List!$K$4,7,List!$M$3:$M$100))</f>
        <v>0</v>
      </c>
      <c r="T16" s="110"/>
      <c r="U16" s="110"/>
      <c r="V16" s="110"/>
      <c r="W16" s="110"/>
      <c r="X16" s="109"/>
      <c r="Y16" s="35">
        <f>IF(S16=0,0,WORKDAY.INTL(S16,T16+(U16*V16),7,List!$M$3:$M$100))</f>
        <v>0</v>
      </c>
      <c r="Z16" s="110"/>
      <c r="AA16" s="110"/>
      <c r="AB16" s="110"/>
      <c r="AC16" s="109"/>
      <c r="AD16" s="109"/>
      <c r="AE16" s="109"/>
      <c r="AF16" s="111"/>
      <c r="AG1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" spans="4:35" x14ac:dyDescent="0.2">
      <c r="D17" s="104"/>
      <c r="E17" s="103"/>
      <c r="F17" s="105"/>
      <c r="G17" s="103"/>
      <c r="H17" s="103"/>
      <c r="I17" s="106">
        <f>IF(الجدول1[[#This Row],[Signing Contract Date]]=0,0,WORKDAY.INTL(الجدول1[[#This Row],[Signing Contract Date]],List!$J$4,7,List!$M$3:$M$100))</f>
        <v>0</v>
      </c>
      <c r="J17" s="107">
        <f>IF(Z17=0,0,WORKDAY.INTL(Y17,Z17+(AA17*AB17),7,List!$M$3:$M$100))</f>
        <v>0</v>
      </c>
      <c r="K17" s="108"/>
      <c r="L17" s="109"/>
      <c r="M17" s="106">
        <f>الجدول1[[#This Row],[Project Start Date | Contract]]</f>
        <v>0</v>
      </c>
      <c r="N17" s="110"/>
      <c r="O17" s="110"/>
      <c r="P17" s="110"/>
      <c r="Q17" s="110"/>
      <c r="R17" s="109"/>
      <c r="S17" s="31">
        <f>IF(M17=0,0, WORKDAY.INTL( WORKDAY.INTL(M17,N17+(O17*P17),7,List!$M$3:$M$100),List!$K$4,7,List!$M$3:$M$100))</f>
        <v>0</v>
      </c>
      <c r="T17" s="110"/>
      <c r="U17" s="110"/>
      <c r="V17" s="110"/>
      <c r="W17" s="110"/>
      <c r="X17" s="109"/>
      <c r="Y17" s="35">
        <f>IF(S17=0,0,WORKDAY.INTL(S17,T17+(U17*V17),7,List!$M$3:$M$100))</f>
        <v>0</v>
      </c>
      <c r="Z17" s="110"/>
      <c r="AA17" s="110"/>
      <c r="AB17" s="110"/>
      <c r="AC17" s="109"/>
      <c r="AD17" s="109"/>
      <c r="AE17" s="109"/>
      <c r="AF17" s="111"/>
      <c r="AG1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" spans="4:35" x14ac:dyDescent="0.2">
      <c r="D18" s="104"/>
      <c r="E18" s="103"/>
      <c r="F18" s="105"/>
      <c r="G18" s="103"/>
      <c r="H18" s="103"/>
      <c r="I18" s="106">
        <f>IF(الجدول1[[#This Row],[Signing Contract Date]]=0,0,WORKDAY.INTL(الجدول1[[#This Row],[Signing Contract Date]],List!$J$4,7,List!$M$3:$M$100))</f>
        <v>0</v>
      </c>
      <c r="J18" s="107">
        <f>IF(Z18=0,0,WORKDAY.INTL(Y18,Z18+(AA18*AB18),7,List!$M$3:$M$100))</f>
        <v>0</v>
      </c>
      <c r="K18" s="108"/>
      <c r="L18" s="109"/>
      <c r="M18" s="106">
        <f>الجدول1[[#This Row],[Project Start Date | Contract]]</f>
        <v>0</v>
      </c>
      <c r="N18" s="110"/>
      <c r="O18" s="110"/>
      <c r="P18" s="110"/>
      <c r="Q18" s="110"/>
      <c r="R18" s="109"/>
      <c r="S18" s="31">
        <f>IF(M18=0,0, WORKDAY.INTL( WORKDAY.INTL(M18,N18+(O18*P18),7,List!$M$3:$M$100),List!$K$4,7,List!$M$3:$M$100))</f>
        <v>0</v>
      </c>
      <c r="T18" s="110"/>
      <c r="U18" s="110"/>
      <c r="V18" s="110"/>
      <c r="W18" s="110"/>
      <c r="X18" s="109"/>
      <c r="Y18" s="35">
        <f>IF(S18=0,0,WORKDAY.INTL(S18,T18+(U18*V18),7,List!$M$3:$M$100))</f>
        <v>0</v>
      </c>
      <c r="Z18" s="110"/>
      <c r="AA18" s="110"/>
      <c r="AB18" s="110"/>
      <c r="AC18" s="109"/>
      <c r="AD18" s="109"/>
      <c r="AE18" s="109"/>
      <c r="AF18" s="111"/>
      <c r="AG1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" spans="4:35" x14ac:dyDescent="0.2">
      <c r="D19" s="104"/>
      <c r="E19" s="103"/>
      <c r="F19" s="105"/>
      <c r="G19" s="103"/>
      <c r="H19" s="103"/>
      <c r="I19" s="106">
        <f>IF(الجدول1[[#This Row],[Signing Contract Date]]=0,0,WORKDAY.INTL(الجدول1[[#This Row],[Signing Contract Date]],List!$J$4,7,List!$M$3:$M$100))</f>
        <v>0</v>
      </c>
      <c r="J19" s="107">
        <f>IF(Z19=0,0,WORKDAY.INTL(Y19,Z19+(AA19*AB19),7,List!$M$3:$M$100))</f>
        <v>0</v>
      </c>
      <c r="K19" s="108"/>
      <c r="L19" s="109"/>
      <c r="M19" s="106">
        <f>الجدول1[[#This Row],[Project Start Date | Contract]]</f>
        <v>0</v>
      </c>
      <c r="N19" s="110"/>
      <c r="O19" s="110"/>
      <c r="P19" s="110"/>
      <c r="Q19" s="110"/>
      <c r="R19" s="109"/>
      <c r="S19" s="31">
        <f>IF(M19=0,0, WORKDAY.INTL( WORKDAY.INTL(M19,N19+(O19*P19),7,List!$M$3:$M$100),List!$K$4,7,List!$M$3:$M$100))</f>
        <v>0</v>
      </c>
      <c r="T19" s="110"/>
      <c r="U19" s="110"/>
      <c r="V19" s="110"/>
      <c r="W19" s="110"/>
      <c r="X19" s="109"/>
      <c r="Y19" s="35">
        <f>IF(S19=0,0,WORKDAY.INTL(S19,T19+(U19*V19),7,List!$M$3:$M$100))</f>
        <v>0</v>
      </c>
      <c r="Z19" s="110"/>
      <c r="AA19" s="110"/>
      <c r="AB19" s="110"/>
      <c r="AC19" s="109"/>
      <c r="AD19" s="109"/>
      <c r="AE19" s="109"/>
      <c r="AF19" s="111"/>
      <c r="AG1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0" spans="4:35" x14ac:dyDescent="0.2">
      <c r="D20" s="104"/>
      <c r="E20" s="103"/>
      <c r="F20" s="105"/>
      <c r="G20" s="103"/>
      <c r="H20" s="103"/>
      <c r="I20" s="106">
        <f>IF(الجدول1[[#This Row],[Signing Contract Date]]=0,0,WORKDAY.INTL(الجدول1[[#This Row],[Signing Contract Date]],List!$J$4,7,List!$M$3:$M$100))</f>
        <v>0</v>
      </c>
      <c r="J20" s="107">
        <f>IF(Z20=0,0,WORKDAY.INTL(Y20,Z20+(AA20*AB20),7,List!$M$3:$M$100))</f>
        <v>0</v>
      </c>
      <c r="K20" s="108"/>
      <c r="L20" s="109"/>
      <c r="M20" s="106">
        <f>الجدول1[[#This Row],[Project Start Date | Contract]]</f>
        <v>0</v>
      </c>
      <c r="N20" s="110"/>
      <c r="O20" s="110"/>
      <c r="P20" s="110"/>
      <c r="Q20" s="110"/>
      <c r="R20" s="109"/>
      <c r="S20" s="31">
        <f>IF(M20=0,0, WORKDAY.INTL( WORKDAY.INTL(M20,N20+(O20*P20),7,List!$M$3:$M$100),List!$K$4,7,List!$M$3:$M$100))</f>
        <v>0</v>
      </c>
      <c r="T20" s="110"/>
      <c r="U20" s="110"/>
      <c r="V20" s="110"/>
      <c r="W20" s="110"/>
      <c r="X20" s="109"/>
      <c r="Y20" s="35">
        <f>IF(S20=0,0,WORKDAY.INTL(S20,T20+(U20*V20),7,List!$M$3:$M$100))</f>
        <v>0</v>
      </c>
      <c r="Z20" s="110"/>
      <c r="AA20" s="110"/>
      <c r="AB20" s="110"/>
      <c r="AC20" s="109"/>
      <c r="AD20" s="109"/>
      <c r="AE20" s="109"/>
      <c r="AF20" s="111"/>
      <c r="AG2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1" spans="4:35" x14ac:dyDescent="0.2">
      <c r="D21" s="104"/>
      <c r="E21" s="103"/>
      <c r="F21" s="105"/>
      <c r="G21" s="103"/>
      <c r="H21" s="103"/>
      <c r="I21" s="106">
        <f>IF(الجدول1[[#This Row],[Signing Contract Date]]=0,0,WORKDAY.INTL(الجدول1[[#This Row],[Signing Contract Date]],List!$J$4,7,List!$M$3:$M$100))</f>
        <v>0</v>
      </c>
      <c r="J21" s="107">
        <f>IF(Z21=0,0,WORKDAY.INTL(Y21,Z21+(AA21*AB21),7,List!$M$3:$M$100))</f>
        <v>0</v>
      </c>
      <c r="K21" s="108"/>
      <c r="L21" s="109"/>
      <c r="M21" s="106">
        <f>الجدول1[[#This Row],[Project Start Date | Contract]]</f>
        <v>0</v>
      </c>
      <c r="N21" s="110"/>
      <c r="O21" s="110"/>
      <c r="P21" s="110"/>
      <c r="Q21" s="110"/>
      <c r="R21" s="109"/>
      <c r="S21" s="31">
        <f>IF(M21=0,0, WORKDAY.INTL( WORKDAY.INTL(M21,N21+(O21*P21),7,List!$M$3:$M$100),List!$K$4,7,List!$M$3:$M$100))</f>
        <v>0</v>
      </c>
      <c r="T21" s="110"/>
      <c r="U21" s="110"/>
      <c r="V21" s="110"/>
      <c r="W21" s="110"/>
      <c r="X21" s="109"/>
      <c r="Y21" s="35">
        <f>IF(S21=0,0,WORKDAY.INTL(S21,T21+(U21*V21),7,List!$M$3:$M$100))</f>
        <v>0</v>
      </c>
      <c r="Z21" s="110"/>
      <c r="AA21" s="110"/>
      <c r="AB21" s="110"/>
      <c r="AC21" s="109"/>
      <c r="AD21" s="109"/>
      <c r="AE21" s="109"/>
      <c r="AF21" s="111"/>
      <c r="AG2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2" spans="4:35" x14ac:dyDescent="0.2">
      <c r="D22" s="104"/>
      <c r="E22" s="103"/>
      <c r="F22" s="105"/>
      <c r="G22" s="103"/>
      <c r="H22" s="103"/>
      <c r="I22" s="106">
        <f>IF(الجدول1[[#This Row],[Signing Contract Date]]=0,0,WORKDAY.INTL(الجدول1[[#This Row],[Signing Contract Date]],List!$J$4,7,List!$M$3:$M$100))</f>
        <v>0</v>
      </c>
      <c r="J22" s="107">
        <f>IF(Z22=0,0,WORKDAY.INTL(Y22,Z22+(AA22*AB22),7,List!$M$3:$M$100))</f>
        <v>0</v>
      </c>
      <c r="K22" s="108"/>
      <c r="L22" s="109"/>
      <c r="M22" s="106">
        <f>الجدول1[[#This Row],[Project Start Date | Contract]]</f>
        <v>0</v>
      </c>
      <c r="N22" s="110"/>
      <c r="O22" s="110"/>
      <c r="P22" s="110"/>
      <c r="Q22" s="110"/>
      <c r="R22" s="109"/>
      <c r="S22" s="31">
        <f>IF(M22=0,0, WORKDAY.INTL( WORKDAY.INTL(M22,N22+(O22*P22),7,List!$M$3:$M$100),List!$K$4,7,List!$M$3:$M$100))</f>
        <v>0</v>
      </c>
      <c r="T22" s="110"/>
      <c r="U22" s="110"/>
      <c r="V22" s="110"/>
      <c r="W22" s="110"/>
      <c r="X22" s="109"/>
      <c r="Y22" s="35">
        <f>IF(S22=0,0,WORKDAY.INTL(S22,T22+(U22*V22),7,List!$M$3:$M$100))</f>
        <v>0</v>
      </c>
      <c r="Z22" s="110"/>
      <c r="AA22" s="110"/>
      <c r="AB22" s="110"/>
      <c r="AC22" s="109"/>
      <c r="AD22" s="109"/>
      <c r="AE22" s="109"/>
      <c r="AF22" s="111"/>
      <c r="AG2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3" spans="4:35" x14ac:dyDescent="0.2">
      <c r="D23" s="104"/>
      <c r="E23" s="103"/>
      <c r="F23" s="105"/>
      <c r="G23" s="103"/>
      <c r="H23" s="103"/>
      <c r="I23" s="106">
        <f>IF(الجدول1[[#This Row],[Signing Contract Date]]=0,0,WORKDAY.INTL(الجدول1[[#This Row],[Signing Contract Date]],List!$J$4,7,List!$M$3:$M$100))</f>
        <v>0</v>
      </c>
      <c r="J23" s="107">
        <f>IF(Z23=0,0,WORKDAY.INTL(Y23,Z23+(AA23*AB23),7,List!$M$3:$M$100))</f>
        <v>0</v>
      </c>
      <c r="K23" s="108"/>
      <c r="L23" s="109"/>
      <c r="M23" s="106">
        <f>الجدول1[[#This Row],[Project Start Date | Contract]]</f>
        <v>0</v>
      </c>
      <c r="N23" s="110"/>
      <c r="O23" s="110"/>
      <c r="P23" s="110"/>
      <c r="Q23" s="110"/>
      <c r="R23" s="109"/>
      <c r="S23" s="31">
        <f>IF(M23=0,0, WORKDAY.INTL( WORKDAY.INTL(M23,N23+(O23*P23),7,List!$M$3:$M$100),List!$K$4,7,List!$M$3:$M$100))</f>
        <v>0</v>
      </c>
      <c r="T23" s="110"/>
      <c r="U23" s="110"/>
      <c r="V23" s="110"/>
      <c r="W23" s="110"/>
      <c r="X23" s="109"/>
      <c r="Y23" s="35">
        <f>IF(S23=0,0,WORKDAY.INTL(S23,T23+(U23*V23),7,List!$M$3:$M$100))</f>
        <v>0</v>
      </c>
      <c r="Z23" s="110"/>
      <c r="AA23" s="110"/>
      <c r="AB23" s="110"/>
      <c r="AC23" s="109"/>
      <c r="AD23" s="109"/>
      <c r="AE23" s="109"/>
      <c r="AF23" s="111"/>
      <c r="AG2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4" spans="4:35" x14ac:dyDescent="0.2">
      <c r="D24" s="104"/>
      <c r="E24" s="103"/>
      <c r="F24" s="105"/>
      <c r="G24" s="103"/>
      <c r="H24" s="103"/>
      <c r="I24" s="106">
        <f>IF(الجدول1[[#This Row],[Signing Contract Date]]=0,0,WORKDAY.INTL(الجدول1[[#This Row],[Signing Contract Date]],List!$J$4,7,List!$M$3:$M$100))</f>
        <v>0</v>
      </c>
      <c r="J24" s="107">
        <f>IF(Z24=0,0,WORKDAY.INTL(Y24,Z24+(AA24*AB24),7,List!$M$3:$M$100))</f>
        <v>0</v>
      </c>
      <c r="K24" s="108"/>
      <c r="L24" s="109"/>
      <c r="M24" s="106">
        <f>الجدول1[[#This Row],[Project Start Date | Contract]]</f>
        <v>0</v>
      </c>
      <c r="N24" s="110"/>
      <c r="O24" s="110"/>
      <c r="P24" s="110"/>
      <c r="Q24" s="110"/>
      <c r="R24" s="109"/>
      <c r="S24" s="31">
        <f>IF(M24=0,0, WORKDAY.INTL( WORKDAY.INTL(M24,N24+(O24*P24),7,List!$M$3:$M$100),List!$K$4,7,List!$M$3:$M$100))</f>
        <v>0</v>
      </c>
      <c r="T24" s="110"/>
      <c r="U24" s="110"/>
      <c r="V24" s="110"/>
      <c r="W24" s="110"/>
      <c r="X24" s="109"/>
      <c r="Y24" s="35">
        <f>IF(S24=0,0,WORKDAY.INTL(S24,T24+(U24*V24),7,List!$M$3:$M$100))</f>
        <v>0</v>
      </c>
      <c r="Z24" s="110"/>
      <c r="AA24" s="110"/>
      <c r="AB24" s="110"/>
      <c r="AC24" s="109"/>
      <c r="AD24" s="109"/>
      <c r="AE24" s="109"/>
      <c r="AF24" s="111"/>
      <c r="AG2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5" spans="4:35" x14ac:dyDescent="0.2">
      <c r="D25" s="104"/>
      <c r="E25" s="103"/>
      <c r="F25" s="105"/>
      <c r="G25" s="103"/>
      <c r="H25" s="103"/>
      <c r="I25" s="106">
        <f>IF(الجدول1[[#This Row],[Signing Contract Date]]=0,0,WORKDAY.INTL(الجدول1[[#This Row],[Signing Contract Date]],List!$J$4,7,List!$M$3:$M$100))</f>
        <v>0</v>
      </c>
      <c r="J25" s="107">
        <f>IF(Z25=0,0,WORKDAY.INTL(Y25,Z25+(AA25*AB25),7,List!$M$3:$M$100))</f>
        <v>0</v>
      </c>
      <c r="K25" s="108"/>
      <c r="L25" s="109"/>
      <c r="M25" s="106">
        <f>الجدول1[[#This Row],[Project Start Date | Contract]]</f>
        <v>0</v>
      </c>
      <c r="N25" s="110"/>
      <c r="O25" s="110"/>
      <c r="P25" s="110"/>
      <c r="Q25" s="110"/>
      <c r="R25" s="109"/>
      <c r="S25" s="31">
        <f>IF(M25=0,0, WORKDAY.INTL( WORKDAY.INTL(M25,N25+(O25*P25),7,List!$M$3:$M$100),List!$K$4,7,List!$M$3:$M$100))</f>
        <v>0</v>
      </c>
      <c r="T25" s="110"/>
      <c r="U25" s="110"/>
      <c r="V25" s="110"/>
      <c r="W25" s="110"/>
      <c r="X25" s="109"/>
      <c r="Y25" s="35">
        <f>IF(S25=0,0,WORKDAY.INTL(S25,T25+(U25*V25),7,List!$M$3:$M$100))</f>
        <v>0</v>
      </c>
      <c r="Z25" s="110"/>
      <c r="AA25" s="110"/>
      <c r="AB25" s="110"/>
      <c r="AC25" s="109"/>
      <c r="AD25" s="109"/>
      <c r="AE25" s="109"/>
      <c r="AF25" s="111"/>
      <c r="AG2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6" spans="4:35" x14ac:dyDescent="0.2">
      <c r="D26" s="104"/>
      <c r="E26" s="103"/>
      <c r="F26" s="105"/>
      <c r="G26" s="103"/>
      <c r="H26" s="103"/>
      <c r="I26" s="106">
        <f>IF(الجدول1[[#This Row],[Signing Contract Date]]=0,0,WORKDAY.INTL(الجدول1[[#This Row],[Signing Contract Date]],List!$J$4,7,List!$M$3:$M$100))</f>
        <v>0</v>
      </c>
      <c r="J26" s="107">
        <f>IF(Z26=0,0,WORKDAY.INTL(Y26,Z26+(AA26*AB26),7,List!$M$3:$M$100))</f>
        <v>0</v>
      </c>
      <c r="K26" s="108"/>
      <c r="L26" s="109"/>
      <c r="M26" s="106">
        <f>الجدول1[[#This Row],[Project Start Date | Contract]]</f>
        <v>0</v>
      </c>
      <c r="N26" s="110"/>
      <c r="O26" s="110"/>
      <c r="P26" s="110"/>
      <c r="Q26" s="110"/>
      <c r="R26" s="109"/>
      <c r="S26" s="31">
        <f>IF(M26=0,0, WORKDAY.INTL( WORKDAY.INTL(M26,N26+(O26*P26),7,List!$M$3:$M$100),List!$K$4,7,List!$M$3:$M$100))</f>
        <v>0</v>
      </c>
      <c r="T26" s="110"/>
      <c r="U26" s="110"/>
      <c r="V26" s="110"/>
      <c r="W26" s="110"/>
      <c r="X26" s="109"/>
      <c r="Y26" s="35">
        <f>IF(S26=0,0,WORKDAY.INTL(S26,T26+(U26*V26),7,List!$M$3:$M$100))</f>
        <v>0</v>
      </c>
      <c r="Z26" s="110"/>
      <c r="AA26" s="110"/>
      <c r="AB26" s="110"/>
      <c r="AC26" s="109"/>
      <c r="AD26" s="109"/>
      <c r="AE26" s="109"/>
      <c r="AF26" s="111"/>
      <c r="AG2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7" spans="4:35" x14ac:dyDescent="0.2">
      <c r="D27" s="104"/>
      <c r="E27" s="103"/>
      <c r="F27" s="105"/>
      <c r="G27" s="103"/>
      <c r="H27" s="103"/>
      <c r="I27" s="106">
        <f>IF(الجدول1[[#This Row],[Signing Contract Date]]=0,0,WORKDAY.INTL(الجدول1[[#This Row],[Signing Contract Date]],List!$J$4,7,List!$M$3:$M$100))</f>
        <v>0</v>
      </c>
      <c r="J27" s="107">
        <f>IF(Z27=0,0,WORKDAY.INTL(Y27,Z27+(AA27*AB27),7,List!$M$3:$M$100))</f>
        <v>0</v>
      </c>
      <c r="K27" s="108"/>
      <c r="L27" s="109"/>
      <c r="M27" s="106">
        <f>الجدول1[[#This Row],[Project Start Date | Contract]]</f>
        <v>0</v>
      </c>
      <c r="N27" s="110"/>
      <c r="O27" s="110"/>
      <c r="P27" s="110"/>
      <c r="Q27" s="110"/>
      <c r="R27" s="109"/>
      <c r="S27" s="31">
        <f>IF(M27=0,0, WORKDAY.INTL( WORKDAY.INTL(M27,N27+(O27*P27),7,List!$M$3:$M$100),List!$K$4,7,List!$M$3:$M$100))</f>
        <v>0</v>
      </c>
      <c r="T27" s="110"/>
      <c r="U27" s="110"/>
      <c r="V27" s="110"/>
      <c r="W27" s="110"/>
      <c r="X27" s="109"/>
      <c r="Y27" s="35">
        <f>IF(S27=0,0,WORKDAY.INTL(S27,T27+(U27*V27),7,List!$M$3:$M$100))</f>
        <v>0</v>
      </c>
      <c r="Z27" s="110"/>
      <c r="AA27" s="110"/>
      <c r="AB27" s="110"/>
      <c r="AC27" s="109"/>
      <c r="AD27" s="109"/>
      <c r="AE27" s="109"/>
      <c r="AF27" s="111"/>
      <c r="AG2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8" spans="4:35" x14ac:dyDescent="0.2">
      <c r="D28" s="104"/>
      <c r="E28" s="103"/>
      <c r="F28" s="105"/>
      <c r="G28" s="103"/>
      <c r="H28" s="103"/>
      <c r="I28" s="106">
        <f>IF(الجدول1[[#This Row],[Signing Contract Date]]=0,0,WORKDAY.INTL(الجدول1[[#This Row],[Signing Contract Date]],List!$J$4,7,List!$M$3:$M$100))</f>
        <v>0</v>
      </c>
      <c r="J28" s="107">
        <f>IF(Z28=0,0,WORKDAY.INTL(Y28,Z28+(AA28*AB28),7,List!$M$3:$M$100))</f>
        <v>0</v>
      </c>
      <c r="K28" s="108"/>
      <c r="L28" s="109"/>
      <c r="M28" s="106">
        <f>الجدول1[[#This Row],[Project Start Date | Contract]]</f>
        <v>0</v>
      </c>
      <c r="N28" s="110"/>
      <c r="O28" s="110"/>
      <c r="P28" s="110"/>
      <c r="Q28" s="110"/>
      <c r="R28" s="109"/>
      <c r="S28" s="31">
        <f>IF(M28=0,0, WORKDAY.INTL( WORKDAY.INTL(M28,N28+(O28*P28),7,List!$M$3:$M$100),List!$K$4,7,List!$M$3:$M$100))</f>
        <v>0</v>
      </c>
      <c r="T28" s="110"/>
      <c r="U28" s="110"/>
      <c r="V28" s="110"/>
      <c r="W28" s="110"/>
      <c r="X28" s="109"/>
      <c r="Y28" s="35">
        <f>IF(S28=0,0,WORKDAY.INTL(S28,T28+(U28*V28),7,List!$M$3:$M$100))</f>
        <v>0</v>
      </c>
      <c r="Z28" s="110"/>
      <c r="AA28" s="110"/>
      <c r="AB28" s="110"/>
      <c r="AC28" s="109"/>
      <c r="AD28" s="109"/>
      <c r="AE28" s="109"/>
      <c r="AF28" s="111"/>
      <c r="AG2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9" spans="4:35" x14ac:dyDescent="0.2">
      <c r="D29" s="104"/>
      <c r="E29" s="103"/>
      <c r="F29" s="105"/>
      <c r="G29" s="103"/>
      <c r="H29" s="103"/>
      <c r="I29" s="106">
        <f>IF(الجدول1[[#This Row],[Signing Contract Date]]=0,0,WORKDAY.INTL(الجدول1[[#This Row],[Signing Contract Date]],List!$J$4,7,List!$M$3:$M$100))</f>
        <v>0</v>
      </c>
      <c r="J29" s="107">
        <f>IF(Z29=0,0,WORKDAY.INTL(Y29,Z29+(AA29*AB29),7,List!$M$3:$M$100))</f>
        <v>0</v>
      </c>
      <c r="K29" s="108"/>
      <c r="L29" s="109"/>
      <c r="M29" s="106">
        <f>الجدول1[[#This Row],[Project Start Date | Contract]]</f>
        <v>0</v>
      </c>
      <c r="N29" s="110"/>
      <c r="O29" s="110"/>
      <c r="P29" s="110"/>
      <c r="Q29" s="110"/>
      <c r="R29" s="109"/>
      <c r="S29" s="31">
        <f>IF(M29=0,0, WORKDAY.INTL( WORKDAY.INTL(M29,N29+(O29*P29),7,List!$M$3:$M$100),List!$K$4,7,List!$M$3:$M$100))</f>
        <v>0</v>
      </c>
      <c r="T29" s="110"/>
      <c r="U29" s="110"/>
      <c r="V29" s="110"/>
      <c r="W29" s="110"/>
      <c r="X29" s="109"/>
      <c r="Y29" s="35">
        <f>IF(S29=0,0,WORKDAY.INTL(S29,T29+(U29*V29),7,List!$M$3:$M$100))</f>
        <v>0</v>
      </c>
      <c r="Z29" s="110"/>
      <c r="AA29" s="110"/>
      <c r="AB29" s="110"/>
      <c r="AC29" s="109"/>
      <c r="AD29" s="109"/>
      <c r="AE29" s="109"/>
      <c r="AF29" s="111"/>
      <c r="AG2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0" spans="4:35" x14ac:dyDescent="0.2">
      <c r="D30" s="104"/>
      <c r="E30" s="103"/>
      <c r="F30" s="105"/>
      <c r="G30" s="103"/>
      <c r="H30" s="103"/>
      <c r="I30" s="106">
        <f>IF(الجدول1[[#This Row],[Signing Contract Date]]=0,0,WORKDAY.INTL(الجدول1[[#This Row],[Signing Contract Date]],List!$J$4,7,List!$M$3:$M$100))</f>
        <v>0</v>
      </c>
      <c r="J30" s="107">
        <f>IF(Z30=0,0,WORKDAY.INTL(Y30,Z30+(AA30*AB30),7,List!$M$3:$M$100))</f>
        <v>0</v>
      </c>
      <c r="K30" s="108"/>
      <c r="L30" s="109"/>
      <c r="M30" s="106">
        <f>الجدول1[[#This Row],[Project Start Date | Contract]]</f>
        <v>0</v>
      </c>
      <c r="N30" s="110"/>
      <c r="O30" s="110"/>
      <c r="P30" s="110"/>
      <c r="Q30" s="110"/>
      <c r="R30" s="109"/>
      <c r="S30" s="31">
        <f>IF(M30=0,0, WORKDAY.INTL( WORKDAY.INTL(M30,N30+(O30*P30),7,List!$M$3:$M$100),List!$K$4,7,List!$M$3:$M$100))</f>
        <v>0</v>
      </c>
      <c r="T30" s="110"/>
      <c r="U30" s="110"/>
      <c r="V30" s="110"/>
      <c r="W30" s="110"/>
      <c r="X30" s="109"/>
      <c r="Y30" s="35">
        <f>IF(S30=0,0,WORKDAY.INTL(S30,T30+(U30*V30),7,List!$M$3:$M$100))</f>
        <v>0</v>
      </c>
      <c r="Z30" s="110"/>
      <c r="AA30" s="110"/>
      <c r="AB30" s="110"/>
      <c r="AC30" s="109"/>
      <c r="AD30" s="109"/>
      <c r="AE30" s="109"/>
      <c r="AF30" s="111"/>
      <c r="AG3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1" spans="4:35" x14ac:dyDescent="0.2">
      <c r="D31" s="104"/>
      <c r="E31" s="103"/>
      <c r="F31" s="105"/>
      <c r="G31" s="103"/>
      <c r="H31" s="103"/>
      <c r="I31" s="106">
        <f>IF(الجدول1[[#This Row],[Signing Contract Date]]=0,0,WORKDAY.INTL(الجدول1[[#This Row],[Signing Contract Date]],List!$J$4,7,List!$M$3:$M$100))</f>
        <v>0</v>
      </c>
      <c r="J31" s="107">
        <f>IF(Z31=0,0,WORKDAY.INTL(Y31,Z31+(AA31*AB31),7,List!$M$3:$M$100))</f>
        <v>0</v>
      </c>
      <c r="K31" s="108"/>
      <c r="L31" s="109"/>
      <c r="M31" s="106">
        <f>الجدول1[[#This Row],[Project Start Date | Contract]]</f>
        <v>0</v>
      </c>
      <c r="N31" s="110"/>
      <c r="O31" s="110"/>
      <c r="P31" s="110"/>
      <c r="Q31" s="110"/>
      <c r="R31" s="109"/>
      <c r="S31" s="31">
        <f>IF(M31=0,0, WORKDAY.INTL( WORKDAY.INTL(M31,N31+(O31*P31),7,List!$M$3:$M$100),List!$K$4,7,List!$M$3:$M$100))</f>
        <v>0</v>
      </c>
      <c r="T31" s="110"/>
      <c r="U31" s="110"/>
      <c r="V31" s="110"/>
      <c r="W31" s="110"/>
      <c r="X31" s="109"/>
      <c r="Y31" s="35">
        <f>IF(S31=0,0,WORKDAY.INTL(S31,T31+(U31*V31),7,List!$M$3:$M$100))</f>
        <v>0</v>
      </c>
      <c r="Z31" s="110"/>
      <c r="AA31" s="110"/>
      <c r="AB31" s="110"/>
      <c r="AC31" s="109"/>
      <c r="AD31" s="109"/>
      <c r="AE31" s="109"/>
      <c r="AF31" s="111"/>
      <c r="AG3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2" spans="4:35" x14ac:dyDescent="0.2">
      <c r="D32" s="104"/>
      <c r="E32" s="103"/>
      <c r="F32" s="105"/>
      <c r="G32" s="103"/>
      <c r="H32" s="103"/>
      <c r="I32" s="106">
        <f>IF(الجدول1[[#This Row],[Signing Contract Date]]=0,0,WORKDAY.INTL(الجدول1[[#This Row],[Signing Contract Date]],List!$J$4,7,List!$M$3:$M$100))</f>
        <v>0</v>
      </c>
      <c r="J32" s="107">
        <f>IF(Z32=0,0,WORKDAY.INTL(Y32,Z32+(AA32*AB32),7,List!$M$3:$M$100))</f>
        <v>0</v>
      </c>
      <c r="K32" s="108"/>
      <c r="L32" s="109"/>
      <c r="M32" s="106">
        <f>الجدول1[[#This Row],[Project Start Date | Contract]]</f>
        <v>0</v>
      </c>
      <c r="N32" s="110"/>
      <c r="O32" s="110"/>
      <c r="P32" s="110"/>
      <c r="Q32" s="110"/>
      <c r="R32" s="109"/>
      <c r="S32" s="31">
        <f>IF(M32=0,0, WORKDAY.INTL( WORKDAY.INTL(M32,N32+(O32*P32),7,List!$M$3:$M$100),List!$K$4,7,List!$M$3:$M$100))</f>
        <v>0</v>
      </c>
      <c r="T32" s="110"/>
      <c r="U32" s="110"/>
      <c r="V32" s="110"/>
      <c r="W32" s="110"/>
      <c r="X32" s="109"/>
      <c r="Y32" s="35">
        <f>IF(S32=0,0,WORKDAY.INTL(S32,T32+(U32*V32),7,List!$M$3:$M$100))</f>
        <v>0</v>
      </c>
      <c r="Z32" s="110"/>
      <c r="AA32" s="110"/>
      <c r="AB32" s="110"/>
      <c r="AC32" s="109"/>
      <c r="AD32" s="109"/>
      <c r="AE32" s="109"/>
      <c r="AF32" s="111"/>
      <c r="AG3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3" spans="4:35" x14ac:dyDescent="0.2">
      <c r="D33" s="104"/>
      <c r="E33" s="103"/>
      <c r="F33" s="105"/>
      <c r="G33" s="103"/>
      <c r="H33" s="103"/>
      <c r="I33" s="106">
        <f>IF(الجدول1[[#This Row],[Signing Contract Date]]=0,0,WORKDAY.INTL(الجدول1[[#This Row],[Signing Contract Date]],List!$J$4,7,List!$M$3:$M$100))</f>
        <v>0</v>
      </c>
      <c r="J33" s="107">
        <f>IF(Z33=0,0,WORKDAY.INTL(Y33,Z33+(AA33*AB33),7,List!$M$3:$M$100))</f>
        <v>0</v>
      </c>
      <c r="K33" s="108"/>
      <c r="L33" s="109"/>
      <c r="M33" s="106">
        <f>الجدول1[[#This Row],[Project Start Date | Contract]]</f>
        <v>0</v>
      </c>
      <c r="N33" s="110"/>
      <c r="O33" s="110"/>
      <c r="P33" s="110"/>
      <c r="Q33" s="110"/>
      <c r="R33" s="109"/>
      <c r="S33" s="31">
        <f>IF(M33=0,0, WORKDAY.INTL( WORKDAY.INTL(M33,N33+(O33*P33),7,List!$M$3:$M$100),List!$K$4,7,List!$M$3:$M$100))</f>
        <v>0</v>
      </c>
      <c r="T33" s="110"/>
      <c r="U33" s="110"/>
      <c r="V33" s="110"/>
      <c r="W33" s="110"/>
      <c r="X33" s="109"/>
      <c r="Y33" s="35">
        <f>IF(S33=0,0,WORKDAY.INTL(S33,T33+(U33*V33),7,List!$M$3:$M$100))</f>
        <v>0</v>
      </c>
      <c r="Z33" s="110"/>
      <c r="AA33" s="110"/>
      <c r="AB33" s="110"/>
      <c r="AC33" s="109"/>
      <c r="AD33" s="109"/>
      <c r="AE33" s="109"/>
      <c r="AF33" s="111"/>
      <c r="AG3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4" spans="4:35" x14ac:dyDescent="0.2">
      <c r="D34" s="104"/>
      <c r="E34" s="103"/>
      <c r="F34" s="105"/>
      <c r="G34" s="103"/>
      <c r="H34" s="103"/>
      <c r="I34" s="106">
        <f>IF(الجدول1[[#This Row],[Signing Contract Date]]=0,0,WORKDAY.INTL(الجدول1[[#This Row],[Signing Contract Date]],List!$J$4,7,List!$M$3:$M$100))</f>
        <v>0</v>
      </c>
      <c r="J34" s="107">
        <f>IF(Z34=0,0,WORKDAY.INTL(Y34,Z34+(AA34*AB34),7,List!$M$3:$M$100))</f>
        <v>0</v>
      </c>
      <c r="K34" s="108"/>
      <c r="L34" s="109"/>
      <c r="M34" s="106">
        <f>الجدول1[[#This Row],[Project Start Date | Contract]]</f>
        <v>0</v>
      </c>
      <c r="N34" s="110"/>
      <c r="O34" s="110"/>
      <c r="P34" s="110"/>
      <c r="Q34" s="110"/>
      <c r="R34" s="109"/>
      <c r="S34" s="31">
        <f>IF(M34=0,0, WORKDAY.INTL( WORKDAY.INTL(M34,N34+(O34*P34),7,List!$M$3:$M$100),List!$K$4,7,List!$M$3:$M$100))</f>
        <v>0</v>
      </c>
      <c r="T34" s="110"/>
      <c r="U34" s="110"/>
      <c r="V34" s="110"/>
      <c r="W34" s="110"/>
      <c r="X34" s="109"/>
      <c r="Y34" s="35">
        <f>IF(S34=0,0,WORKDAY.INTL(S34,T34+(U34*V34),7,List!$M$3:$M$100))</f>
        <v>0</v>
      </c>
      <c r="Z34" s="110"/>
      <c r="AA34" s="110"/>
      <c r="AB34" s="110"/>
      <c r="AC34" s="109"/>
      <c r="AD34" s="109"/>
      <c r="AE34" s="109"/>
      <c r="AF34" s="111"/>
      <c r="AG3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5" spans="4:35" x14ac:dyDescent="0.2">
      <c r="D35" s="104"/>
      <c r="E35" s="103"/>
      <c r="F35" s="105"/>
      <c r="G35" s="103"/>
      <c r="H35" s="103"/>
      <c r="I35" s="106">
        <f>IF(الجدول1[[#This Row],[Signing Contract Date]]=0,0,WORKDAY.INTL(الجدول1[[#This Row],[Signing Contract Date]],List!$J$4,7,List!$M$3:$M$100))</f>
        <v>0</v>
      </c>
      <c r="J35" s="107">
        <f>IF(Z35=0,0,WORKDAY.INTL(Y35,Z35+(AA35*AB35),7,List!$M$3:$M$100))</f>
        <v>0</v>
      </c>
      <c r="K35" s="108"/>
      <c r="L35" s="109"/>
      <c r="M35" s="106">
        <f>الجدول1[[#This Row],[Project Start Date | Contract]]</f>
        <v>0</v>
      </c>
      <c r="N35" s="110"/>
      <c r="O35" s="110"/>
      <c r="P35" s="110"/>
      <c r="Q35" s="110"/>
      <c r="R35" s="109"/>
      <c r="S35" s="31">
        <f>IF(M35=0,0, WORKDAY.INTL( WORKDAY.INTL(M35,N35+(O35*P35),7,List!$M$3:$M$100),List!$K$4,7,List!$M$3:$M$100))</f>
        <v>0</v>
      </c>
      <c r="T35" s="110"/>
      <c r="U35" s="110"/>
      <c r="V35" s="110"/>
      <c r="W35" s="110"/>
      <c r="X35" s="109"/>
      <c r="Y35" s="35">
        <f>IF(S35=0,0,WORKDAY.INTL(S35,T35+(U35*V35),7,List!$M$3:$M$100))</f>
        <v>0</v>
      </c>
      <c r="Z35" s="110"/>
      <c r="AA35" s="110"/>
      <c r="AB35" s="110"/>
      <c r="AC35" s="109"/>
      <c r="AD35" s="109"/>
      <c r="AE35" s="109"/>
      <c r="AF35" s="111"/>
      <c r="AG3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6" spans="4:35" x14ac:dyDescent="0.2">
      <c r="D36" s="104"/>
      <c r="E36" s="103"/>
      <c r="F36" s="105"/>
      <c r="G36" s="103"/>
      <c r="H36" s="103"/>
      <c r="I36" s="106">
        <f>IF(الجدول1[[#This Row],[Signing Contract Date]]=0,0,WORKDAY.INTL(الجدول1[[#This Row],[Signing Contract Date]],List!$J$4,7,List!$M$3:$M$100))</f>
        <v>0</v>
      </c>
      <c r="J36" s="107">
        <f>IF(Z36=0,0,WORKDAY.INTL(Y36,Z36+(AA36*AB36),7,List!$M$3:$M$100))</f>
        <v>0</v>
      </c>
      <c r="K36" s="108"/>
      <c r="L36" s="109"/>
      <c r="M36" s="106">
        <f>الجدول1[[#This Row],[Project Start Date | Contract]]</f>
        <v>0</v>
      </c>
      <c r="N36" s="110"/>
      <c r="O36" s="110"/>
      <c r="P36" s="110"/>
      <c r="Q36" s="110"/>
      <c r="R36" s="109"/>
      <c r="S36" s="31">
        <f>IF(M36=0,0, WORKDAY.INTL( WORKDAY.INTL(M36,N36+(O36*P36),7,List!$M$3:$M$100),List!$K$4,7,List!$M$3:$M$100))</f>
        <v>0</v>
      </c>
      <c r="T36" s="110"/>
      <c r="U36" s="110"/>
      <c r="V36" s="110"/>
      <c r="W36" s="110"/>
      <c r="X36" s="109"/>
      <c r="Y36" s="35">
        <f>IF(S36=0,0,WORKDAY.INTL(S36,T36+(U36*V36),7,List!$M$3:$M$100))</f>
        <v>0</v>
      </c>
      <c r="Z36" s="110"/>
      <c r="AA36" s="110"/>
      <c r="AB36" s="110"/>
      <c r="AC36" s="109"/>
      <c r="AD36" s="109"/>
      <c r="AE36" s="109"/>
      <c r="AF36" s="111"/>
      <c r="AG3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7" spans="4:35" x14ac:dyDescent="0.2">
      <c r="D37" s="104"/>
      <c r="E37" s="103"/>
      <c r="F37" s="105"/>
      <c r="G37" s="103"/>
      <c r="H37" s="103"/>
      <c r="I37" s="106">
        <f>IF(الجدول1[[#This Row],[Signing Contract Date]]=0,0,WORKDAY.INTL(الجدول1[[#This Row],[Signing Contract Date]],List!$J$4,7,List!$M$3:$M$100))</f>
        <v>0</v>
      </c>
      <c r="J37" s="107">
        <f>IF(Z37=0,0,WORKDAY.INTL(Y37,Z37+(AA37*AB37),7,List!$M$3:$M$100))</f>
        <v>0</v>
      </c>
      <c r="K37" s="108"/>
      <c r="L37" s="109"/>
      <c r="M37" s="106">
        <f>الجدول1[[#This Row],[Project Start Date | Contract]]</f>
        <v>0</v>
      </c>
      <c r="N37" s="110"/>
      <c r="O37" s="110"/>
      <c r="P37" s="110"/>
      <c r="Q37" s="110"/>
      <c r="R37" s="109"/>
      <c r="S37" s="31">
        <f>IF(M37=0,0, WORKDAY.INTL( WORKDAY.INTL(M37,N37+(O37*P37),7,List!$M$3:$M$100),List!$K$4,7,List!$M$3:$M$100))</f>
        <v>0</v>
      </c>
      <c r="T37" s="110"/>
      <c r="U37" s="110"/>
      <c r="V37" s="110"/>
      <c r="W37" s="110"/>
      <c r="X37" s="109"/>
      <c r="Y37" s="35">
        <f>IF(S37=0,0,WORKDAY.INTL(S37,T37+(U37*V37),7,List!$M$3:$M$100))</f>
        <v>0</v>
      </c>
      <c r="Z37" s="110"/>
      <c r="AA37" s="110"/>
      <c r="AB37" s="110"/>
      <c r="AC37" s="109"/>
      <c r="AD37" s="109"/>
      <c r="AE37" s="109"/>
      <c r="AF37" s="111"/>
      <c r="AG3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8" spans="4:35" x14ac:dyDescent="0.2">
      <c r="D38" s="104"/>
      <c r="E38" s="103"/>
      <c r="F38" s="105"/>
      <c r="G38" s="103"/>
      <c r="H38" s="103"/>
      <c r="I38" s="106">
        <f>IF(الجدول1[[#This Row],[Signing Contract Date]]=0,0,WORKDAY.INTL(الجدول1[[#This Row],[Signing Contract Date]],List!$J$4,7,List!$M$3:$M$100))</f>
        <v>0</v>
      </c>
      <c r="J38" s="107">
        <f>IF(Z38=0,0,WORKDAY.INTL(Y38,Z38+(AA38*AB38),7,List!$M$3:$M$100))</f>
        <v>0</v>
      </c>
      <c r="K38" s="108"/>
      <c r="L38" s="109"/>
      <c r="M38" s="106">
        <f>الجدول1[[#This Row],[Project Start Date | Contract]]</f>
        <v>0</v>
      </c>
      <c r="N38" s="110"/>
      <c r="O38" s="110"/>
      <c r="P38" s="110"/>
      <c r="Q38" s="110"/>
      <c r="R38" s="109"/>
      <c r="S38" s="31">
        <f>IF(M38=0,0, WORKDAY.INTL( WORKDAY.INTL(M38,N38+(O38*P38),7,List!$M$3:$M$100),List!$K$4,7,List!$M$3:$M$100))</f>
        <v>0</v>
      </c>
      <c r="T38" s="110"/>
      <c r="U38" s="110"/>
      <c r="V38" s="110"/>
      <c r="W38" s="110"/>
      <c r="X38" s="109"/>
      <c r="Y38" s="35">
        <f>IF(S38=0,0,WORKDAY.INTL(S38,T38+(U38*V38),7,List!$M$3:$M$100))</f>
        <v>0</v>
      </c>
      <c r="Z38" s="110"/>
      <c r="AA38" s="110"/>
      <c r="AB38" s="110"/>
      <c r="AC38" s="109"/>
      <c r="AD38" s="109"/>
      <c r="AE38" s="109"/>
      <c r="AF38" s="111"/>
      <c r="AG3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39" spans="4:35" x14ac:dyDescent="0.2">
      <c r="D39" s="104"/>
      <c r="E39" s="103"/>
      <c r="F39" s="105"/>
      <c r="G39" s="103"/>
      <c r="H39" s="103"/>
      <c r="I39" s="106">
        <f>IF(الجدول1[[#This Row],[Signing Contract Date]]=0,0,WORKDAY.INTL(الجدول1[[#This Row],[Signing Contract Date]],List!$J$4,7,List!$M$3:$M$100))</f>
        <v>0</v>
      </c>
      <c r="J39" s="107">
        <f>IF(Z39=0,0,WORKDAY.INTL(Y39,Z39+(AA39*AB39),7,List!$M$3:$M$100))</f>
        <v>0</v>
      </c>
      <c r="K39" s="108"/>
      <c r="L39" s="109"/>
      <c r="M39" s="106">
        <f>الجدول1[[#This Row],[Project Start Date | Contract]]</f>
        <v>0</v>
      </c>
      <c r="N39" s="110"/>
      <c r="O39" s="110"/>
      <c r="P39" s="110"/>
      <c r="Q39" s="110"/>
      <c r="R39" s="109"/>
      <c r="S39" s="31">
        <f>IF(M39=0,0, WORKDAY.INTL( WORKDAY.INTL(M39,N39+(O39*P39),7,List!$M$3:$M$100),List!$K$4,7,List!$M$3:$M$100))</f>
        <v>0</v>
      </c>
      <c r="T39" s="110"/>
      <c r="U39" s="110"/>
      <c r="V39" s="110"/>
      <c r="W39" s="110"/>
      <c r="X39" s="109"/>
      <c r="Y39" s="35">
        <f>IF(S39=0,0,WORKDAY.INTL(S39,T39+(U39*V39),7,List!$M$3:$M$100))</f>
        <v>0</v>
      </c>
      <c r="Z39" s="110"/>
      <c r="AA39" s="110"/>
      <c r="AB39" s="110"/>
      <c r="AC39" s="109"/>
      <c r="AD39" s="109"/>
      <c r="AE39" s="109"/>
      <c r="AF39" s="111"/>
      <c r="AG3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3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3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0" spans="4:35" x14ac:dyDescent="0.2">
      <c r="D40" s="104"/>
      <c r="E40" s="103"/>
      <c r="F40" s="105"/>
      <c r="G40" s="103"/>
      <c r="H40" s="103"/>
      <c r="I40" s="106">
        <f>IF(الجدول1[[#This Row],[Signing Contract Date]]=0,0,WORKDAY.INTL(الجدول1[[#This Row],[Signing Contract Date]],List!$J$4,7,List!$M$3:$M$100))</f>
        <v>0</v>
      </c>
      <c r="J40" s="107">
        <f>IF(Z40=0,0,WORKDAY.INTL(Y40,Z40+(AA40*AB40),7,List!$M$3:$M$100))</f>
        <v>0</v>
      </c>
      <c r="K40" s="108"/>
      <c r="L40" s="109"/>
      <c r="M40" s="106">
        <f>الجدول1[[#This Row],[Project Start Date | Contract]]</f>
        <v>0</v>
      </c>
      <c r="N40" s="110"/>
      <c r="O40" s="110"/>
      <c r="P40" s="110"/>
      <c r="Q40" s="110"/>
      <c r="R40" s="109"/>
      <c r="S40" s="31">
        <f>IF(M40=0,0, WORKDAY.INTL( WORKDAY.INTL(M40,N40+(O40*P40),7,List!$M$3:$M$100),List!$K$4,7,List!$M$3:$M$100))</f>
        <v>0</v>
      </c>
      <c r="T40" s="110"/>
      <c r="U40" s="110"/>
      <c r="V40" s="110"/>
      <c r="W40" s="110"/>
      <c r="X40" s="109"/>
      <c r="Y40" s="35">
        <f>IF(S40=0,0,WORKDAY.INTL(S40,T40+(U40*V40),7,List!$M$3:$M$100))</f>
        <v>0</v>
      </c>
      <c r="Z40" s="110"/>
      <c r="AA40" s="110"/>
      <c r="AB40" s="110"/>
      <c r="AC40" s="109"/>
      <c r="AD40" s="109"/>
      <c r="AE40" s="109"/>
      <c r="AF40" s="111"/>
      <c r="AG4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1" spans="4:35" x14ac:dyDescent="0.2">
      <c r="D41" s="104"/>
      <c r="E41" s="103"/>
      <c r="F41" s="105"/>
      <c r="G41" s="103"/>
      <c r="H41" s="103"/>
      <c r="I41" s="106">
        <f>IF(الجدول1[[#This Row],[Signing Contract Date]]=0,0,WORKDAY.INTL(الجدول1[[#This Row],[Signing Contract Date]],List!$J$4,7,List!$M$3:$M$100))</f>
        <v>0</v>
      </c>
      <c r="J41" s="107">
        <f>IF(Z41=0,0,WORKDAY.INTL(Y41,Z41+(AA41*AB41),7,List!$M$3:$M$100))</f>
        <v>0</v>
      </c>
      <c r="K41" s="108"/>
      <c r="L41" s="109"/>
      <c r="M41" s="106">
        <f>الجدول1[[#This Row],[Project Start Date | Contract]]</f>
        <v>0</v>
      </c>
      <c r="N41" s="110"/>
      <c r="O41" s="110"/>
      <c r="P41" s="110"/>
      <c r="Q41" s="110"/>
      <c r="R41" s="109"/>
      <c r="S41" s="31">
        <f>IF(M41=0,0, WORKDAY.INTL( WORKDAY.INTL(M41,N41+(O41*P41),7,List!$M$3:$M$100),List!$K$4,7,List!$M$3:$M$100))</f>
        <v>0</v>
      </c>
      <c r="T41" s="110"/>
      <c r="U41" s="110"/>
      <c r="V41" s="110"/>
      <c r="W41" s="110"/>
      <c r="X41" s="109"/>
      <c r="Y41" s="35">
        <f>IF(S41=0,0,WORKDAY.INTL(S41,T41+(U41*V41),7,List!$M$3:$M$100))</f>
        <v>0</v>
      </c>
      <c r="Z41" s="110"/>
      <c r="AA41" s="110"/>
      <c r="AB41" s="110"/>
      <c r="AC41" s="109"/>
      <c r="AD41" s="109"/>
      <c r="AE41" s="109"/>
      <c r="AF41" s="111"/>
      <c r="AG4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2" spans="4:35" x14ac:dyDescent="0.2">
      <c r="D42" s="104"/>
      <c r="E42" s="103"/>
      <c r="F42" s="105"/>
      <c r="G42" s="103"/>
      <c r="H42" s="103"/>
      <c r="I42" s="106">
        <f>IF(الجدول1[[#This Row],[Signing Contract Date]]=0,0,WORKDAY.INTL(الجدول1[[#This Row],[Signing Contract Date]],List!$J$4,7,List!$M$3:$M$100))</f>
        <v>0</v>
      </c>
      <c r="J42" s="107">
        <f>IF(Z42=0,0,WORKDAY.INTL(Y42,Z42+(AA42*AB42),7,List!$M$3:$M$100))</f>
        <v>0</v>
      </c>
      <c r="K42" s="108"/>
      <c r="L42" s="109"/>
      <c r="M42" s="106">
        <f>الجدول1[[#This Row],[Project Start Date | Contract]]</f>
        <v>0</v>
      </c>
      <c r="N42" s="110"/>
      <c r="O42" s="110"/>
      <c r="P42" s="110"/>
      <c r="Q42" s="110"/>
      <c r="R42" s="109"/>
      <c r="S42" s="31">
        <f>IF(M42=0,0, WORKDAY.INTL( WORKDAY.INTL(M42,N42+(O42*P42),7,List!$M$3:$M$100),List!$K$4,7,List!$M$3:$M$100))</f>
        <v>0</v>
      </c>
      <c r="T42" s="110"/>
      <c r="U42" s="110"/>
      <c r="V42" s="110"/>
      <c r="W42" s="110"/>
      <c r="X42" s="109"/>
      <c r="Y42" s="35">
        <f>IF(S42=0,0,WORKDAY.INTL(S42,T42+(U42*V42),7,List!$M$3:$M$100))</f>
        <v>0</v>
      </c>
      <c r="Z42" s="110"/>
      <c r="AA42" s="110"/>
      <c r="AB42" s="110"/>
      <c r="AC42" s="109"/>
      <c r="AD42" s="109"/>
      <c r="AE42" s="109"/>
      <c r="AF42" s="111"/>
      <c r="AG4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3" spans="4:35" x14ac:dyDescent="0.2">
      <c r="D43" s="104"/>
      <c r="E43" s="103"/>
      <c r="F43" s="105"/>
      <c r="G43" s="103"/>
      <c r="H43" s="103"/>
      <c r="I43" s="106">
        <f>IF(الجدول1[[#This Row],[Signing Contract Date]]=0,0,WORKDAY.INTL(الجدول1[[#This Row],[Signing Contract Date]],List!$J$4,7,List!$M$3:$M$100))</f>
        <v>0</v>
      </c>
      <c r="J43" s="107">
        <f>IF(Z43=0,0,WORKDAY.INTL(Y43,Z43+(AA43*AB43),7,List!$M$3:$M$100))</f>
        <v>0</v>
      </c>
      <c r="K43" s="108"/>
      <c r="L43" s="109"/>
      <c r="M43" s="106">
        <f>الجدول1[[#This Row],[Project Start Date | Contract]]</f>
        <v>0</v>
      </c>
      <c r="N43" s="110"/>
      <c r="O43" s="110"/>
      <c r="P43" s="110"/>
      <c r="Q43" s="110"/>
      <c r="R43" s="109"/>
      <c r="S43" s="31">
        <f>IF(M43=0,0, WORKDAY.INTL( WORKDAY.INTL(M43,N43+(O43*P43),7,List!$M$3:$M$100),List!$K$4,7,List!$M$3:$M$100))</f>
        <v>0</v>
      </c>
      <c r="T43" s="110"/>
      <c r="U43" s="110"/>
      <c r="V43" s="110"/>
      <c r="W43" s="110"/>
      <c r="X43" s="109"/>
      <c r="Y43" s="35">
        <f>IF(S43=0,0,WORKDAY.INTL(S43,T43+(U43*V43),7,List!$M$3:$M$100))</f>
        <v>0</v>
      </c>
      <c r="Z43" s="110"/>
      <c r="AA43" s="110"/>
      <c r="AB43" s="110"/>
      <c r="AC43" s="109"/>
      <c r="AD43" s="109"/>
      <c r="AE43" s="109"/>
      <c r="AF43" s="111"/>
      <c r="AG4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4" spans="4:35" x14ac:dyDescent="0.2">
      <c r="D44" s="104"/>
      <c r="E44" s="103"/>
      <c r="F44" s="105"/>
      <c r="G44" s="103"/>
      <c r="H44" s="103"/>
      <c r="I44" s="106">
        <f>IF(الجدول1[[#This Row],[Signing Contract Date]]=0,0,WORKDAY.INTL(الجدول1[[#This Row],[Signing Contract Date]],List!$J$4,7,List!$M$3:$M$100))</f>
        <v>0</v>
      </c>
      <c r="J44" s="107">
        <f>IF(Z44=0,0,WORKDAY.INTL(Y44,Z44+(AA44*AB44),7,List!$M$3:$M$100))</f>
        <v>0</v>
      </c>
      <c r="K44" s="108"/>
      <c r="L44" s="109"/>
      <c r="M44" s="106">
        <f>الجدول1[[#This Row],[Project Start Date | Contract]]</f>
        <v>0</v>
      </c>
      <c r="N44" s="110"/>
      <c r="O44" s="110"/>
      <c r="P44" s="110"/>
      <c r="Q44" s="110"/>
      <c r="R44" s="109"/>
      <c r="S44" s="31">
        <f>IF(M44=0,0, WORKDAY.INTL( WORKDAY.INTL(M44,N44+(O44*P44),7,List!$M$3:$M$100),List!$K$4,7,List!$M$3:$M$100))</f>
        <v>0</v>
      </c>
      <c r="T44" s="110"/>
      <c r="U44" s="110"/>
      <c r="V44" s="110"/>
      <c r="W44" s="110"/>
      <c r="X44" s="109"/>
      <c r="Y44" s="35">
        <f>IF(S44=0,0,WORKDAY.INTL(S44,T44+(U44*V44),7,List!$M$3:$M$100))</f>
        <v>0</v>
      </c>
      <c r="Z44" s="110"/>
      <c r="AA44" s="110"/>
      <c r="AB44" s="110"/>
      <c r="AC44" s="109"/>
      <c r="AD44" s="109"/>
      <c r="AE44" s="109"/>
      <c r="AF44" s="111"/>
      <c r="AG4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5" spans="4:35" x14ac:dyDescent="0.2">
      <c r="D45" s="104"/>
      <c r="E45" s="103"/>
      <c r="F45" s="105"/>
      <c r="G45" s="103"/>
      <c r="H45" s="103"/>
      <c r="I45" s="106">
        <f>IF(الجدول1[[#This Row],[Signing Contract Date]]=0,0,WORKDAY.INTL(الجدول1[[#This Row],[Signing Contract Date]],List!$J$4,7,List!$M$3:$M$100))</f>
        <v>0</v>
      </c>
      <c r="J45" s="107">
        <f>IF(Z45=0,0,WORKDAY.INTL(Y45,Z45+(AA45*AB45),7,List!$M$3:$M$100))</f>
        <v>0</v>
      </c>
      <c r="K45" s="108"/>
      <c r="L45" s="109"/>
      <c r="M45" s="106">
        <f>الجدول1[[#This Row],[Project Start Date | Contract]]</f>
        <v>0</v>
      </c>
      <c r="N45" s="110"/>
      <c r="O45" s="110"/>
      <c r="P45" s="110"/>
      <c r="Q45" s="110"/>
      <c r="R45" s="109"/>
      <c r="S45" s="31">
        <f>IF(M45=0,0, WORKDAY.INTL( WORKDAY.INTL(M45,N45+(O45*P45),7,List!$M$3:$M$100),List!$K$4,7,List!$M$3:$M$100))</f>
        <v>0</v>
      </c>
      <c r="T45" s="110"/>
      <c r="U45" s="110"/>
      <c r="V45" s="110"/>
      <c r="W45" s="110"/>
      <c r="X45" s="109"/>
      <c r="Y45" s="35">
        <f>IF(S45=0,0,WORKDAY.INTL(S45,T45+(U45*V45),7,List!$M$3:$M$100))</f>
        <v>0</v>
      </c>
      <c r="Z45" s="110"/>
      <c r="AA45" s="110"/>
      <c r="AB45" s="110"/>
      <c r="AC45" s="109"/>
      <c r="AD45" s="109"/>
      <c r="AE45" s="109"/>
      <c r="AF45" s="111"/>
      <c r="AG4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6" spans="4:35" x14ac:dyDescent="0.2">
      <c r="D46" s="104"/>
      <c r="E46" s="103"/>
      <c r="F46" s="105"/>
      <c r="G46" s="103"/>
      <c r="H46" s="103"/>
      <c r="I46" s="106">
        <f>IF(الجدول1[[#This Row],[Signing Contract Date]]=0,0,WORKDAY.INTL(الجدول1[[#This Row],[Signing Contract Date]],List!$J$4,7,List!$M$3:$M$100))</f>
        <v>0</v>
      </c>
      <c r="J46" s="107">
        <f>IF(Z46=0,0,WORKDAY.INTL(Y46,Z46+(AA46*AB46),7,List!$M$3:$M$100))</f>
        <v>0</v>
      </c>
      <c r="K46" s="108"/>
      <c r="L46" s="109"/>
      <c r="M46" s="106">
        <f>الجدول1[[#This Row],[Project Start Date | Contract]]</f>
        <v>0</v>
      </c>
      <c r="N46" s="110"/>
      <c r="O46" s="110"/>
      <c r="P46" s="110"/>
      <c r="Q46" s="110"/>
      <c r="R46" s="109"/>
      <c r="S46" s="31">
        <f>IF(M46=0,0, WORKDAY.INTL( WORKDAY.INTL(M46,N46+(O46*P46),7,List!$M$3:$M$100),List!$K$4,7,List!$M$3:$M$100))</f>
        <v>0</v>
      </c>
      <c r="T46" s="110"/>
      <c r="U46" s="110"/>
      <c r="V46" s="110"/>
      <c r="W46" s="110"/>
      <c r="X46" s="109"/>
      <c r="Y46" s="35">
        <f>IF(S46=0,0,WORKDAY.INTL(S46,T46+(U46*V46),7,List!$M$3:$M$100))</f>
        <v>0</v>
      </c>
      <c r="Z46" s="110"/>
      <c r="AA46" s="110"/>
      <c r="AB46" s="110"/>
      <c r="AC46" s="109"/>
      <c r="AD46" s="109"/>
      <c r="AE46" s="109"/>
      <c r="AF46" s="111"/>
      <c r="AG4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7" spans="4:35" x14ac:dyDescent="0.2">
      <c r="D47" s="104"/>
      <c r="E47" s="103"/>
      <c r="F47" s="105"/>
      <c r="G47" s="103"/>
      <c r="H47" s="103"/>
      <c r="I47" s="106">
        <f>IF(الجدول1[[#This Row],[Signing Contract Date]]=0,0,WORKDAY.INTL(الجدول1[[#This Row],[Signing Contract Date]],List!$J$4,7,List!$M$3:$M$100))</f>
        <v>0</v>
      </c>
      <c r="J47" s="107">
        <f>IF(Z47=0,0,WORKDAY.INTL(Y47,Z47+(AA47*AB47),7,List!$M$3:$M$100))</f>
        <v>0</v>
      </c>
      <c r="K47" s="108"/>
      <c r="L47" s="109"/>
      <c r="M47" s="106">
        <f>الجدول1[[#This Row],[Project Start Date | Contract]]</f>
        <v>0</v>
      </c>
      <c r="N47" s="110"/>
      <c r="O47" s="110"/>
      <c r="P47" s="110"/>
      <c r="Q47" s="110"/>
      <c r="R47" s="109"/>
      <c r="S47" s="31">
        <f>IF(M47=0,0, WORKDAY.INTL( WORKDAY.INTL(M47,N47+(O47*P47),7,List!$M$3:$M$100),List!$K$4,7,List!$M$3:$M$100))</f>
        <v>0</v>
      </c>
      <c r="T47" s="110"/>
      <c r="U47" s="110"/>
      <c r="V47" s="110"/>
      <c r="W47" s="110"/>
      <c r="X47" s="109"/>
      <c r="Y47" s="35">
        <f>IF(S47=0,0,WORKDAY.INTL(S47,T47+(U47*V47),7,List!$M$3:$M$100))</f>
        <v>0</v>
      </c>
      <c r="Z47" s="110"/>
      <c r="AA47" s="110"/>
      <c r="AB47" s="110"/>
      <c r="AC47" s="109"/>
      <c r="AD47" s="109"/>
      <c r="AE47" s="109"/>
      <c r="AF47" s="111"/>
      <c r="AG4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8" spans="4:35" x14ac:dyDescent="0.2">
      <c r="D48" s="104"/>
      <c r="E48" s="103"/>
      <c r="F48" s="105"/>
      <c r="G48" s="103"/>
      <c r="H48" s="103"/>
      <c r="I48" s="106">
        <f>IF(الجدول1[[#This Row],[Signing Contract Date]]=0,0,WORKDAY.INTL(الجدول1[[#This Row],[Signing Contract Date]],List!$J$4,7,List!$M$3:$M$100))</f>
        <v>0</v>
      </c>
      <c r="J48" s="107">
        <f>IF(Z48=0,0,WORKDAY.INTL(Y48,Z48+(AA48*AB48),7,List!$M$3:$M$100))</f>
        <v>0</v>
      </c>
      <c r="K48" s="108"/>
      <c r="L48" s="109"/>
      <c r="M48" s="106">
        <f>الجدول1[[#This Row],[Project Start Date | Contract]]</f>
        <v>0</v>
      </c>
      <c r="N48" s="110"/>
      <c r="O48" s="110"/>
      <c r="P48" s="110"/>
      <c r="Q48" s="110"/>
      <c r="R48" s="109"/>
      <c r="S48" s="31">
        <f>IF(M48=0,0, WORKDAY.INTL( WORKDAY.INTL(M48,N48+(O48*P48),7,List!$M$3:$M$100),List!$K$4,7,List!$M$3:$M$100))</f>
        <v>0</v>
      </c>
      <c r="T48" s="110"/>
      <c r="U48" s="110"/>
      <c r="V48" s="110"/>
      <c r="W48" s="110"/>
      <c r="X48" s="109"/>
      <c r="Y48" s="35">
        <f>IF(S48=0,0,WORKDAY.INTL(S48,T48+(U48*V48),7,List!$M$3:$M$100))</f>
        <v>0</v>
      </c>
      <c r="Z48" s="110"/>
      <c r="AA48" s="110"/>
      <c r="AB48" s="110"/>
      <c r="AC48" s="109"/>
      <c r="AD48" s="109"/>
      <c r="AE48" s="109"/>
      <c r="AF48" s="111"/>
      <c r="AG4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49" spans="4:35" x14ac:dyDescent="0.2">
      <c r="D49" s="104"/>
      <c r="E49" s="103"/>
      <c r="F49" s="105"/>
      <c r="G49" s="103"/>
      <c r="H49" s="103"/>
      <c r="I49" s="106">
        <f>IF(الجدول1[[#This Row],[Signing Contract Date]]=0,0,WORKDAY.INTL(الجدول1[[#This Row],[Signing Contract Date]],List!$J$4,7,List!$M$3:$M$100))</f>
        <v>0</v>
      </c>
      <c r="J49" s="107">
        <f>IF(Z49=0,0,WORKDAY.INTL(Y49,Z49+(AA49*AB49),7,List!$M$3:$M$100))</f>
        <v>0</v>
      </c>
      <c r="K49" s="108"/>
      <c r="L49" s="109"/>
      <c r="M49" s="106">
        <f>الجدول1[[#This Row],[Project Start Date | Contract]]</f>
        <v>0</v>
      </c>
      <c r="N49" s="110"/>
      <c r="O49" s="110"/>
      <c r="P49" s="110"/>
      <c r="Q49" s="110"/>
      <c r="R49" s="109"/>
      <c r="S49" s="31">
        <f>IF(M49=0,0, WORKDAY.INTL( WORKDAY.INTL(M49,N49+(O49*P49),7,List!$M$3:$M$100),List!$K$4,7,List!$M$3:$M$100))</f>
        <v>0</v>
      </c>
      <c r="T49" s="110"/>
      <c r="U49" s="110"/>
      <c r="V49" s="110"/>
      <c r="W49" s="110"/>
      <c r="X49" s="109"/>
      <c r="Y49" s="35">
        <f>IF(S49=0,0,WORKDAY.INTL(S49,T49+(U49*V49),7,List!$M$3:$M$100))</f>
        <v>0</v>
      </c>
      <c r="Z49" s="110"/>
      <c r="AA49" s="110"/>
      <c r="AB49" s="110"/>
      <c r="AC49" s="109"/>
      <c r="AD49" s="109"/>
      <c r="AE49" s="109"/>
      <c r="AF49" s="111"/>
      <c r="AG4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4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4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0" spans="4:35" x14ac:dyDescent="0.2">
      <c r="D50" s="104"/>
      <c r="E50" s="103"/>
      <c r="F50" s="105"/>
      <c r="G50" s="103"/>
      <c r="H50" s="103"/>
      <c r="I50" s="106">
        <f>IF(الجدول1[[#This Row],[Signing Contract Date]]=0,0,WORKDAY.INTL(الجدول1[[#This Row],[Signing Contract Date]],List!$J$4,7,List!$M$3:$M$100))</f>
        <v>0</v>
      </c>
      <c r="J50" s="107">
        <f>IF(Z50=0,0,WORKDAY.INTL(Y50,Z50+(AA50*AB50),7,List!$M$3:$M$100))</f>
        <v>0</v>
      </c>
      <c r="K50" s="108"/>
      <c r="L50" s="109"/>
      <c r="M50" s="106">
        <f>الجدول1[[#This Row],[Project Start Date | Contract]]</f>
        <v>0</v>
      </c>
      <c r="N50" s="110"/>
      <c r="O50" s="110"/>
      <c r="P50" s="110"/>
      <c r="Q50" s="110"/>
      <c r="R50" s="109"/>
      <c r="S50" s="31">
        <f>IF(M50=0,0, WORKDAY.INTL( WORKDAY.INTL(M50,N50+(O50*P50),7,List!$M$3:$M$100),List!$K$4,7,List!$M$3:$M$100))</f>
        <v>0</v>
      </c>
      <c r="T50" s="110"/>
      <c r="U50" s="110"/>
      <c r="V50" s="110"/>
      <c r="W50" s="110"/>
      <c r="X50" s="109"/>
      <c r="Y50" s="35">
        <f>IF(S50=0,0,WORKDAY.INTL(S50,T50+(U50*V50),7,List!$M$3:$M$100))</f>
        <v>0</v>
      </c>
      <c r="Z50" s="110"/>
      <c r="AA50" s="110"/>
      <c r="AB50" s="110"/>
      <c r="AC50" s="109"/>
      <c r="AD50" s="109"/>
      <c r="AE50" s="109"/>
      <c r="AF50" s="111"/>
      <c r="AG5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1" spans="4:35" x14ac:dyDescent="0.2">
      <c r="D51" s="104"/>
      <c r="E51" s="103"/>
      <c r="F51" s="105"/>
      <c r="G51" s="103"/>
      <c r="H51" s="103"/>
      <c r="I51" s="106">
        <f>IF(الجدول1[[#This Row],[Signing Contract Date]]=0,0,WORKDAY.INTL(الجدول1[[#This Row],[Signing Contract Date]],List!$J$4,7,List!$M$3:$M$100))</f>
        <v>0</v>
      </c>
      <c r="J51" s="107">
        <f>IF(Z51=0,0,WORKDAY.INTL(Y51,Z51+(AA51*AB51),7,List!$M$3:$M$100))</f>
        <v>0</v>
      </c>
      <c r="K51" s="108"/>
      <c r="L51" s="109"/>
      <c r="M51" s="106">
        <f>الجدول1[[#This Row],[Project Start Date | Contract]]</f>
        <v>0</v>
      </c>
      <c r="N51" s="110"/>
      <c r="O51" s="110"/>
      <c r="P51" s="110"/>
      <c r="Q51" s="110"/>
      <c r="R51" s="109"/>
      <c r="S51" s="31">
        <f>IF(M51=0,0, WORKDAY.INTL( WORKDAY.INTL(M51,N51+(O51*P51),7,List!$M$3:$M$100),List!$K$4,7,List!$M$3:$M$100))</f>
        <v>0</v>
      </c>
      <c r="T51" s="110"/>
      <c r="U51" s="110"/>
      <c r="V51" s="110"/>
      <c r="W51" s="110"/>
      <c r="X51" s="109"/>
      <c r="Y51" s="35">
        <f>IF(S51=0,0,WORKDAY.INTL(S51,T51+(U51*V51),7,List!$M$3:$M$100))</f>
        <v>0</v>
      </c>
      <c r="Z51" s="110"/>
      <c r="AA51" s="110"/>
      <c r="AB51" s="110"/>
      <c r="AC51" s="109"/>
      <c r="AD51" s="109"/>
      <c r="AE51" s="109"/>
      <c r="AF51" s="111"/>
      <c r="AG5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2" spans="4:35" x14ac:dyDescent="0.2">
      <c r="D52" s="104"/>
      <c r="E52" s="103"/>
      <c r="F52" s="105"/>
      <c r="G52" s="103"/>
      <c r="H52" s="103"/>
      <c r="I52" s="106">
        <f>IF(الجدول1[[#This Row],[Signing Contract Date]]=0,0,WORKDAY.INTL(الجدول1[[#This Row],[Signing Contract Date]],List!$J$4,7,List!$M$3:$M$100))</f>
        <v>0</v>
      </c>
      <c r="J52" s="107">
        <f>IF(Z52=0,0,WORKDAY.INTL(Y52,Z52+(AA52*AB52),7,List!$M$3:$M$100))</f>
        <v>0</v>
      </c>
      <c r="K52" s="108"/>
      <c r="L52" s="109"/>
      <c r="M52" s="106">
        <f>الجدول1[[#This Row],[Project Start Date | Contract]]</f>
        <v>0</v>
      </c>
      <c r="N52" s="110"/>
      <c r="O52" s="110"/>
      <c r="P52" s="110"/>
      <c r="Q52" s="110"/>
      <c r="R52" s="109"/>
      <c r="S52" s="31">
        <f>IF(M52=0,0, WORKDAY.INTL( WORKDAY.INTL(M52,N52+(O52*P52),7,List!$M$3:$M$100),List!$K$4,7,List!$M$3:$M$100))</f>
        <v>0</v>
      </c>
      <c r="T52" s="110"/>
      <c r="U52" s="110"/>
      <c r="V52" s="110"/>
      <c r="W52" s="110"/>
      <c r="X52" s="109"/>
      <c r="Y52" s="35">
        <f>IF(S52=0,0,WORKDAY.INTL(S52,T52+(U52*V52),7,List!$M$3:$M$100))</f>
        <v>0</v>
      </c>
      <c r="Z52" s="110"/>
      <c r="AA52" s="110"/>
      <c r="AB52" s="110"/>
      <c r="AC52" s="109"/>
      <c r="AD52" s="109"/>
      <c r="AE52" s="109"/>
      <c r="AF52" s="111"/>
      <c r="AG5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3" spans="4:35" x14ac:dyDescent="0.2">
      <c r="D53" s="104"/>
      <c r="E53" s="103"/>
      <c r="F53" s="105"/>
      <c r="G53" s="103"/>
      <c r="H53" s="103"/>
      <c r="I53" s="106">
        <f>IF(الجدول1[[#This Row],[Signing Contract Date]]=0,0,WORKDAY.INTL(الجدول1[[#This Row],[Signing Contract Date]],List!$J$4,7,List!$M$3:$M$100))</f>
        <v>0</v>
      </c>
      <c r="J53" s="107">
        <f>IF(Z53=0,0,WORKDAY.INTL(Y53,Z53+(AA53*AB53),7,List!$M$3:$M$100))</f>
        <v>0</v>
      </c>
      <c r="K53" s="108"/>
      <c r="L53" s="109"/>
      <c r="M53" s="106">
        <f>الجدول1[[#This Row],[Project Start Date | Contract]]</f>
        <v>0</v>
      </c>
      <c r="N53" s="110"/>
      <c r="O53" s="110"/>
      <c r="P53" s="110"/>
      <c r="Q53" s="110"/>
      <c r="R53" s="109"/>
      <c r="S53" s="31">
        <f>IF(M53=0,0, WORKDAY.INTL( WORKDAY.INTL(M53,N53+(O53*P53),7,List!$M$3:$M$100),List!$K$4,7,List!$M$3:$M$100))</f>
        <v>0</v>
      </c>
      <c r="T53" s="110"/>
      <c r="U53" s="110"/>
      <c r="V53" s="110"/>
      <c r="W53" s="110"/>
      <c r="X53" s="109"/>
      <c r="Y53" s="35">
        <f>IF(S53=0,0,WORKDAY.INTL(S53,T53+(U53*V53),7,List!$M$3:$M$100))</f>
        <v>0</v>
      </c>
      <c r="Z53" s="110"/>
      <c r="AA53" s="110"/>
      <c r="AB53" s="110"/>
      <c r="AC53" s="109"/>
      <c r="AD53" s="109"/>
      <c r="AE53" s="109"/>
      <c r="AF53" s="111"/>
      <c r="AG5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4" spans="4:35" x14ac:dyDescent="0.2">
      <c r="D54" s="104"/>
      <c r="E54" s="103"/>
      <c r="F54" s="105"/>
      <c r="G54" s="103"/>
      <c r="H54" s="103"/>
      <c r="I54" s="106">
        <f>IF(الجدول1[[#This Row],[Signing Contract Date]]=0,0,WORKDAY.INTL(الجدول1[[#This Row],[Signing Contract Date]],List!$J$4,7,List!$M$3:$M$100))</f>
        <v>0</v>
      </c>
      <c r="J54" s="107">
        <f>IF(Z54=0,0,WORKDAY.INTL(Y54,Z54+(AA54*AB54),7,List!$M$3:$M$100))</f>
        <v>0</v>
      </c>
      <c r="K54" s="108"/>
      <c r="L54" s="109"/>
      <c r="M54" s="106">
        <f>الجدول1[[#This Row],[Project Start Date | Contract]]</f>
        <v>0</v>
      </c>
      <c r="N54" s="110"/>
      <c r="O54" s="110"/>
      <c r="P54" s="110"/>
      <c r="Q54" s="110"/>
      <c r="R54" s="109"/>
      <c r="S54" s="31">
        <f>IF(M54=0,0, WORKDAY.INTL( WORKDAY.INTL(M54,N54+(O54*P54),7,List!$M$3:$M$100),List!$K$4,7,List!$M$3:$M$100))</f>
        <v>0</v>
      </c>
      <c r="T54" s="110"/>
      <c r="U54" s="110"/>
      <c r="V54" s="110"/>
      <c r="W54" s="110"/>
      <c r="X54" s="109"/>
      <c r="Y54" s="35">
        <f>IF(S54=0,0,WORKDAY.INTL(S54,T54+(U54*V54),7,List!$M$3:$M$100))</f>
        <v>0</v>
      </c>
      <c r="Z54" s="110"/>
      <c r="AA54" s="110"/>
      <c r="AB54" s="110"/>
      <c r="AC54" s="109"/>
      <c r="AD54" s="109"/>
      <c r="AE54" s="109"/>
      <c r="AF54" s="111"/>
      <c r="AG5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5" spans="4:35" x14ac:dyDescent="0.2">
      <c r="D55" s="104"/>
      <c r="E55" s="103"/>
      <c r="F55" s="105"/>
      <c r="G55" s="103"/>
      <c r="H55" s="103"/>
      <c r="I55" s="106">
        <f>IF(الجدول1[[#This Row],[Signing Contract Date]]=0,0,WORKDAY.INTL(الجدول1[[#This Row],[Signing Contract Date]],List!$J$4,7,List!$M$3:$M$100))</f>
        <v>0</v>
      </c>
      <c r="J55" s="107">
        <f>IF(Z55=0,0,WORKDAY.INTL(Y55,Z55+(AA55*AB55),7,List!$M$3:$M$100))</f>
        <v>0</v>
      </c>
      <c r="K55" s="108"/>
      <c r="L55" s="109"/>
      <c r="M55" s="106">
        <f>الجدول1[[#This Row],[Project Start Date | Contract]]</f>
        <v>0</v>
      </c>
      <c r="N55" s="110"/>
      <c r="O55" s="110"/>
      <c r="P55" s="110"/>
      <c r="Q55" s="110"/>
      <c r="R55" s="109"/>
      <c r="S55" s="31">
        <f>IF(M55=0,0, WORKDAY.INTL( WORKDAY.INTL(M55,N55+(O55*P55),7,List!$M$3:$M$100),List!$K$4,7,List!$M$3:$M$100))</f>
        <v>0</v>
      </c>
      <c r="T55" s="110"/>
      <c r="U55" s="110"/>
      <c r="V55" s="110"/>
      <c r="W55" s="110"/>
      <c r="X55" s="109"/>
      <c r="Y55" s="35">
        <f>IF(S55=0,0,WORKDAY.INTL(S55,T55+(U55*V55),7,List!$M$3:$M$100))</f>
        <v>0</v>
      </c>
      <c r="Z55" s="110"/>
      <c r="AA55" s="110"/>
      <c r="AB55" s="110"/>
      <c r="AC55" s="109"/>
      <c r="AD55" s="109"/>
      <c r="AE55" s="109"/>
      <c r="AF55" s="111"/>
      <c r="AG5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6" spans="4:35" x14ac:dyDescent="0.2">
      <c r="D56" s="104"/>
      <c r="E56" s="103"/>
      <c r="F56" s="105"/>
      <c r="G56" s="103"/>
      <c r="H56" s="103"/>
      <c r="I56" s="106">
        <f>IF(الجدول1[[#This Row],[Signing Contract Date]]=0,0,WORKDAY.INTL(الجدول1[[#This Row],[Signing Contract Date]],List!$J$4,7,List!$M$3:$M$100))</f>
        <v>0</v>
      </c>
      <c r="J56" s="107">
        <f>IF(Z56=0,0,WORKDAY.INTL(Y56,Z56+(AA56*AB56),7,List!$M$3:$M$100))</f>
        <v>0</v>
      </c>
      <c r="K56" s="108"/>
      <c r="L56" s="109"/>
      <c r="M56" s="106">
        <f>الجدول1[[#This Row],[Project Start Date | Contract]]</f>
        <v>0</v>
      </c>
      <c r="N56" s="110"/>
      <c r="O56" s="110"/>
      <c r="P56" s="110"/>
      <c r="Q56" s="110"/>
      <c r="R56" s="109"/>
      <c r="S56" s="31">
        <f>IF(M56=0,0, WORKDAY.INTL( WORKDAY.INTL(M56,N56+(O56*P56),7,List!$M$3:$M$100),List!$K$4,7,List!$M$3:$M$100))</f>
        <v>0</v>
      </c>
      <c r="T56" s="110"/>
      <c r="U56" s="110"/>
      <c r="V56" s="110"/>
      <c r="W56" s="110"/>
      <c r="X56" s="109"/>
      <c r="Y56" s="35">
        <f>IF(S56=0,0,WORKDAY.INTL(S56,T56+(U56*V56),7,List!$M$3:$M$100))</f>
        <v>0</v>
      </c>
      <c r="Z56" s="110"/>
      <c r="AA56" s="110"/>
      <c r="AB56" s="110"/>
      <c r="AC56" s="109"/>
      <c r="AD56" s="109"/>
      <c r="AE56" s="109"/>
      <c r="AF56" s="111"/>
      <c r="AG5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7" spans="4:35" x14ac:dyDescent="0.2">
      <c r="D57" s="104"/>
      <c r="E57" s="103"/>
      <c r="F57" s="105"/>
      <c r="G57" s="103"/>
      <c r="H57" s="103"/>
      <c r="I57" s="106">
        <f>IF(الجدول1[[#This Row],[Signing Contract Date]]=0,0,WORKDAY.INTL(الجدول1[[#This Row],[Signing Contract Date]],List!$J$4,7,List!$M$3:$M$100))</f>
        <v>0</v>
      </c>
      <c r="J57" s="107">
        <f>IF(Z57=0,0,WORKDAY.INTL(Y57,Z57+(AA57*AB57),7,List!$M$3:$M$100))</f>
        <v>0</v>
      </c>
      <c r="K57" s="108"/>
      <c r="L57" s="109"/>
      <c r="M57" s="106">
        <f>الجدول1[[#This Row],[Project Start Date | Contract]]</f>
        <v>0</v>
      </c>
      <c r="N57" s="110"/>
      <c r="O57" s="110"/>
      <c r="P57" s="110"/>
      <c r="Q57" s="110"/>
      <c r="R57" s="109"/>
      <c r="S57" s="31">
        <f>IF(M57=0,0, WORKDAY.INTL( WORKDAY.INTL(M57,N57+(O57*P57),7,List!$M$3:$M$100),List!$K$4,7,List!$M$3:$M$100))</f>
        <v>0</v>
      </c>
      <c r="T57" s="110"/>
      <c r="U57" s="110"/>
      <c r="V57" s="110"/>
      <c r="W57" s="110"/>
      <c r="X57" s="109"/>
      <c r="Y57" s="35">
        <f>IF(S57=0,0,WORKDAY.INTL(S57,T57+(U57*V57),7,List!$M$3:$M$100))</f>
        <v>0</v>
      </c>
      <c r="Z57" s="110"/>
      <c r="AA57" s="110"/>
      <c r="AB57" s="110"/>
      <c r="AC57" s="109"/>
      <c r="AD57" s="109"/>
      <c r="AE57" s="109"/>
      <c r="AF57" s="111"/>
      <c r="AG5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8" spans="4:35" x14ac:dyDescent="0.2">
      <c r="D58" s="104"/>
      <c r="E58" s="103"/>
      <c r="F58" s="105"/>
      <c r="G58" s="103"/>
      <c r="H58" s="103"/>
      <c r="I58" s="106">
        <f>IF(الجدول1[[#This Row],[Signing Contract Date]]=0,0,WORKDAY.INTL(الجدول1[[#This Row],[Signing Contract Date]],List!$J$4,7,List!$M$3:$M$100))</f>
        <v>0</v>
      </c>
      <c r="J58" s="107">
        <f>IF(Z58=0,0,WORKDAY.INTL(Y58,Z58+(AA58*AB58),7,List!$M$3:$M$100))</f>
        <v>0</v>
      </c>
      <c r="K58" s="108"/>
      <c r="L58" s="109"/>
      <c r="M58" s="106">
        <f>الجدول1[[#This Row],[Project Start Date | Contract]]</f>
        <v>0</v>
      </c>
      <c r="N58" s="110"/>
      <c r="O58" s="110"/>
      <c r="P58" s="110"/>
      <c r="Q58" s="110"/>
      <c r="R58" s="109"/>
      <c r="S58" s="31">
        <f>IF(M58=0,0, WORKDAY.INTL( WORKDAY.INTL(M58,N58+(O58*P58),7,List!$M$3:$M$100),List!$K$4,7,List!$M$3:$M$100))</f>
        <v>0</v>
      </c>
      <c r="T58" s="110"/>
      <c r="U58" s="110"/>
      <c r="V58" s="110"/>
      <c r="W58" s="110"/>
      <c r="X58" s="109"/>
      <c r="Y58" s="35">
        <f>IF(S58=0,0,WORKDAY.INTL(S58,T58+(U58*V58),7,List!$M$3:$M$100))</f>
        <v>0</v>
      </c>
      <c r="Z58" s="110"/>
      <c r="AA58" s="110"/>
      <c r="AB58" s="110"/>
      <c r="AC58" s="109"/>
      <c r="AD58" s="109"/>
      <c r="AE58" s="109"/>
      <c r="AF58" s="111"/>
      <c r="AG5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59" spans="4:35" x14ac:dyDescent="0.2">
      <c r="D59" s="104"/>
      <c r="E59" s="103"/>
      <c r="F59" s="105"/>
      <c r="G59" s="103"/>
      <c r="H59" s="103"/>
      <c r="I59" s="106">
        <f>IF(الجدول1[[#This Row],[Signing Contract Date]]=0,0,WORKDAY.INTL(الجدول1[[#This Row],[Signing Contract Date]],List!$J$4,7,List!$M$3:$M$100))</f>
        <v>0</v>
      </c>
      <c r="J59" s="107">
        <f>IF(Z59=0,0,WORKDAY.INTL(Y59,Z59+(AA59*AB59),7,List!$M$3:$M$100))</f>
        <v>0</v>
      </c>
      <c r="K59" s="108"/>
      <c r="L59" s="109"/>
      <c r="M59" s="106">
        <f>الجدول1[[#This Row],[Project Start Date | Contract]]</f>
        <v>0</v>
      </c>
      <c r="N59" s="110"/>
      <c r="O59" s="110"/>
      <c r="P59" s="110"/>
      <c r="Q59" s="110"/>
      <c r="R59" s="109"/>
      <c r="S59" s="31">
        <f>IF(M59=0,0, WORKDAY.INTL( WORKDAY.INTL(M59,N59+(O59*P59),7,List!$M$3:$M$100),List!$K$4,7,List!$M$3:$M$100))</f>
        <v>0</v>
      </c>
      <c r="T59" s="110"/>
      <c r="U59" s="110"/>
      <c r="V59" s="110"/>
      <c r="W59" s="110"/>
      <c r="X59" s="109"/>
      <c r="Y59" s="35">
        <f>IF(S59=0,0,WORKDAY.INTL(S59,T59+(U59*V59),7,List!$M$3:$M$100))</f>
        <v>0</v>
      </c>
      <c r="Z59" s="110"/>
      <c r="AA59" s="110"/>
      <c r="AB59" s="110"/>
      <c r="AC59" s="109"/>
      <c r="AD59" s="109"/>
      <c r="AE59" s="109"/>
      <c r="AF59" s="111"/>
      <c r="AG5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5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5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0" spans="4:35" x14ac:dyDescent="0.2">
      <c r="D60" s="104"/>
      <c r="E60" s="103"/>
      <c r="F60" s="105"/>
      <c r="G60" s="103"/>
      <c r="H60" s="103"/>
      <c r="I60" s="106">
        <f>IF(الجدول1[[#This Row],[Signing Contract Date]]=0,0,WORKDAY.INTL(الجدول1[[#This Row],[Signing Contract Date]],List!$J$4,7,List!$M$3:$M$100))</f>
        <v>0</v>
      </c>
      <c r="J60" s="107">
        <f>IF(Z60=0,0,WORKDAY.INTL(Y60,Z60+(AA60*AB60),7,List!$M$3:$M$100))</f>
        <v>0</v>
      </c>
      <c r="K60" s="108"/>
      <c r="L60" s="109"/>
      <c r="M60" s="106">
        <f>الجدول1[[#This Row],[Project Start Date | Contract]]</f>
        <v>0</v>
      </c>
      <c r="N60" s="110"/>
      <c r="O60" s="110"/>
      <c r="P60" s="110"/>
      <c r="Q60" s="110"/>
      <c r="R60" s="109"/>
      <c r="S60" s="31">
        <f>IF(M60=0,0, WORKDAY.INTL( WORKDAY.INTL(M60,N60+(O60*P60),7,List!$M$3:$M$100),List!$K$4,7,List!$M$3:$M$100))</f>
        <v>0</v>
      </c>
      <c r="T60" s="110"/>
      <c r="U60" s="110"/>
      <c r="V60" s="110"/>
      <c r="W60" s="110"/>
      <c r="X60" s="109"/>
      <c r="Y60" s="35">
        <f>IF(S60=0,0,WORKDAY.INTL(S60,T60+(U60*V60),7,List!$M$3:$M$100))</f>
        <v>0</v>
      </c>
      <c r="Z60" s="110"/>
      <c r="AA60" s="110"/>
      <c r="AB60" s="110"/>
      <c r="AC60" s="109"/>
      <c r="AD60" s="109"/>
      <c r="AE60" s="109"/>
      <c r="AF60" s="111"/>
      <c r="AG6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1" spans="4:35" x14ac:dyDescent="0.2">
      <c r="D61" s="104"/>
      <c r="E61" s="103"/>
      <c r="F61" s="105"/>
      <c r="G61" s="103"/>
      <c r="H61" s="103"/>
      <c r="I61" s="106">
        <f>IF(الجدول1[[#This Row],[Signing Contract Date]]=0,0,WORKDAY.INTL(الجدول1[[#This Row],[Signing Contract Date]],List!$J$4,7,List!$M$3:$M$100))</f>
        <v>0</v>
      </c>
      <c r="J61" s="107">
        <f>IF(Z61=0,0,WORKDAY.INTL(Y61,Z61+(AA61*AB61),7,List!$M$3:$M$100))</f>
        <v>0</v>
      </c>
      <c r="K61" s="108"/>
      <c r="L61" s="109"/>
      <c r="M61" s="106">
        <f>الجدول1[[#This Row],[Project Start Date | Contract]]</f>
        <v>0</v>
      </c>
      <c r="N61" s="110"/>
      <c r="O61" s="110"/>
      <c r="P61" s="110"/>
      <c r="Q61" s="110"/>
      <c r="R61" s="109"/>
      <c r="S61" s="31">
        <f>IF(M61=0,0, WORKDAY.INTL( WORKDAY.INTL(M61,N61+(O61*P61),7,List!$M$3:$M$100),List!$K$4,7,List!$M$3:$M$100))</f>
        <v>0</v>
      </c>
      <c r="T61" s="110"/>
      <c r="U61" s="110"/>
      <c r="V61" s="110"/>
      <c r="W61" s="110"/>
      <c r="X61" s="109"/>
      <c r="Y61" s="35">
        <f>IF(S61=0,0,WORKDAY.INTL(S61,T61+(U61*V61),7,List!$M$3:$M$100))</f>
        <v>0</v>
      </c>
      <c r="Z61" s="110"/>
      <c r="AA61" s="110"/>
      <c r="AB61" s="110"/>
      <c r="AC61" s="109"/>
      <c r="AD61" s="109"/>
      <c r="AE61" s="109"/>
      <c r="AF61" s="111"/>
      <c r="AG6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2" spans="4:35" x14ac:dyDescent="0.2">
      <c r="D62" s="104"/>
      <c r="E62" s="103"/>
      <c r="F62" s="105"/>
      <c r="G62" s="103"/>
      <c r="H62" s="103"/>
      <c r="I62" s="106">
        <f>IF(الجدول1[[#This Row],[Signing Contract Date]]=0,0,WORKDAY.INTL(الجدول1[[#This Row],[Signing Contract Date]],List!$J$4,7,List!$M$3:$M$100))</f>
        <v>0</v>
      </c>
      <c r="J62" s="107">
        <f>IF(Z62=0,0,WORKDAY.INTL(Y62,Z62+(AA62*AB62),7,List!$M$3:$M$100))</f>
        <v>0</v>
      </c>
      <c r="K62" s="108"/>
      <c r="L62" s="109"/>
      <c r="M62" s="106">
        <f>الجدول1[[#This Row],[Project Start Date | Contract]]</f>
        <v>0</v>
      </c>
      <c r="N62" s="110"/>
      <c r="O62" s="110"/>
      <c r="P62" s="110"/>
      <c r="Q62" s="110"/>
      <c r="R62" s="109"/>
      <c r="S62" s="31">
        <f>IF(M62=0,0, WORKDAY.INTL( WORKDAY.INTL(M62,N62+(O62*P62),7,List!$M$3:$M$100),List!$K$4,7,List!$M$3:$M$100))</f>
        <v>0</v>
      </c>
      <c r="T62" s="110"/>
      <c r="U62" s="110"/>
      <c r="V62" s="110"/>
      <c r="W62" s="110"/>
      <c r="X62" s="109"/>
      <c r="Y62" s="35">
        <f>IF(S62=0,0,WORKDAY.INTL(S62,T62+(U62*V62),7,List!$M$3:$M$100))</f>
        <v>0</v>
      </c>
      <c r="Z62" s="110"/>
      <c r="AA62" s="110"/>
      <c r="AB62" s="110"/>
      <c r="AC62" s="109"/>
      <c r="AD62" s="109"/>
      <c r="AE62" s="109"/>
      <c r="AF62" s="111"/>
      <c r="AG6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3" spans="4:35" x14ac:dyDescent="0.2">
      <c r="D63" s="104"/>
      <c r="E63" s="103"/>
      <c r="F63" s="105"/>
      <c r="G63" s="103"/>
      <c r="H63" s="103"/>
      <c r="I63" s="106">
        <f>IF(الجدول1[[#This Row],[Signing Contract Date]]=0,0,WORKDAY.INTL(الجدول1[[#This Row],[Signing Contract Date]],List!$J$4,7,List!$M$3:$M$100))</f>
        <v>0</v>
      </c>
      <c r="J63" s="107">
        <f>IF(Z63=0,0,WORKDAY.INTL(Y63,Z63+(AA63*AB63),7,List!$M$3:$M$100))</f>
        <v>0</v>
      </c>
      <c r="K63" s="108"/>
      <c r="L63" s="109"/>
      <c r="M63" s="106">
        <f>الجدول1[[#This Row],[Project Start Date | Contract]]</f>
        <v>0</v>
      </c>
      <c r="N63" s="110"/>
      <c r="O63" s="110"/>
      <c r="P63" s="110"/>
      <c r="Q63" s="110"/>
      <c r="R63" s="109"/>
      <c r="S63" s="31">
        <f>IF(M63=0,0, WORKDAY.INTL( WORKDAY.INTL(M63,N63+(O63*P63),7,List!$M$3:$M$100),List!$K$4,7,List!$M$3:$M$100))</f>
        <v>0</v>
      </c>
      <c r="T63" s="110"/>
      <c r="U63" s="110"/>
      <c r="V63" s="110"/>
      <c r="W63" s="110"/>
      <c r="X63" s="109"/>
      <c r="Y63" s="35">
        <f>IF(S63=0,0,WORKDAY.INTL(S63,T63+(U63*V63),7,List!$M$3:$M$100))</f>
        <v>0</v>
      </c>
      <c r="Z63" s="110"/>
      <c r="AA63" s="110"/>
      <c r="AB63" s="110"/>
      <c r="AC63" s="109"/>
      <c r="AD63" s="109"/>
      <c r="AE63" s="109"/>
      <c r="AF63" s="111"/>
      <c r="AG6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4" spans="4:35" x14ac:dyDescent="0.2">
      <c r="D64" s="104"/>
      <c r="E64" s="103"/>
      <c r="F64" s="105"/>
      <c r="G64" s="103"/>
      <c r="H64" s="103"/>
      <c r="I64" s="106">
        <f>IF(الجدول1[[#This Row],[Signing Contract Date]]=0,0,WORKDAY.INTL(الجدول1[[#This Row],[Signing Contract Date]],List!$J$4,7,List!$M$3:$M$100))</f>
        <v>0</v>
      </c>
      <c r="J64" s="107">
        <f>IF(Z64=0,0,WORKDAY.INTL(Y64,Z64+(AA64*AB64),7,List!$M$3:$M$100))</f>
        <v>0</v>
      </c>
      <c r="K64" s="108"/>
      <c r="L64" s="109"/>
      <c r="M64" s="106">
        <f>الجدول1[[#This Row],[Project Start Date | Contract]]</f>
        <v>0</v>
      </c>
      <c r="N64" s="110"/>
      <c r="O64" s="110"/>
      <c r="P64" s="110"/>
      <c r="Q64" s="110"/>
      <c r="R64" s="109"/>
      <c r="S64" s="31">
        <f>IF(M64=0,0, WORKDAY.INTL( WORKDAY.INTL(M64,N64+(O64*P64),7,List!$M$3:$M$100),List!$K$4,7,List!$M$3:$M$100))</f>
        <v>0</v>
      </c>
      <c r="T64" s="110"/>
      <c r="U64" s="110"/>
      <c r="V64" s="110"/>
      <c r="W64" s="110"/>
      <c r="X64" s="109"/>
      <c r="Y64" s="35">
        <f>IF(S64=0,0,WORKDAY.INTL(S64,T64+(U64*V64),7,List!$M$3:$M$100))</f>
        <v>0</v>
      </c>
      <c r="Z64" s="110"/>
      <c r="AA64" s="110"/>
      <c r="AB64" s="110"/>
      <c r="AC64" s="109"/>
      <c r="AD64" s="109"/>
      <c r="AE64" s="109"/>
      <c r="AF64" s="111"/>
      <c r="AG6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5" spans="4:35" x14ac:dyDescent="0.2">
      <c r="D65" s="104"/>
      <c r="E65" s="103"/>
      <c r="F65" s="105"/>
      <c r="G65" s="103"/>
      <c r="H65" s="103"/>
      <c r="I65" s="106">
        <f>IF(الجدول1[[#This Row],[Signing Contract Date]]=0,0,WORKDAY.INTL(الجدول1[[#This Row],[Signing Contract Date]],List!$J$4,7,List!$M$3:$M$100))</f>
        <v>0</v>
      </c>
      <c r="J65" s="107">
        <f>IF(Z65=0,0,WORKDAY.INTL(Y65,Z65+(AA65*AB65),7,List!$M$3:$M$100))</f>
        <v>0</v>
      </c>
      <c r="K65" s="108"/>
      <c r="L65" s="109"/>
      <c r="M65" s="106">
        <f>الجدول1[[#This Row],[Project Start Date | Contract]]</f>
        <v>0</v>
      </c>
      <c r="N65" s="110"/>
      <c r="O65" s="110"/>
      <c r="P65" s="110"/>
      <c r="Q65" s="110"/>
      <c r="R65" s="109"/>
      <c r="S65" s="31">
        <f>IF(M65=0,0, WORKDAY.INTL( WORKDAY.INTL(M65,N65+(O65*P65),7,List!$M$3:$M$100),List!$K$4,7,List!$M$3:$M$100))</f>
        <v>0</v>
      </c>
      <c r="T65" s="110"/>
      <c r="U65" s="110"/>
      <c r="V65" s="110"/>
      <c r="W65" s="110"/>
      <c r="X65" s="109"/>
      <c r="Y65" s="35">
        <f>IF(S65=0,0,WORKDAY.INTL(S65,T65+(U65*V65),7,List!$M$3:$M$100))</f>
        <v>0</v>
      </c>
      <c r="Z65" s="110"/>
      <c r="AA65" s="110"/>
      <c r="AB65" s="110"/>
      <c r="AC65" s="109"/>
      <c r="AD65" s="109"/>
      <c r="AE65" s="109"/>
      <c r="AF65" s="111"/>
      <c r="AG6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6" spans="4:35" x14ac:dyDescent="0.2">
      <c r="D66" s="104"/>
      <c r="E66" s="103"/>
      <c r="F66" s="105"/>
      <c r="G66" s="103"/>
      <c r="H66" s="103"/>
      <c r="I66" s="106">
        <f>IF(الجدول1[[#This Row],[Signing Contract Date]]=0,0,WORKDAY.INTL(الجدول1[[#This Row],[Signing Contract Date]],List!$J$4,7,List!$M$3:$M$100))</f>
        <v>0</v>
      </c>
      <c r="J66" s="107">
        <f>IF(Z66=0,0,WORKDAY.INTL(Y66,Z66+(AA66*AB66),7,List!$M$3:$M$100))</f>
        <v>0</v>
      </c>
      <c r="K66" s="108"/>
      <c r="L66" s="109"/>
      <c r="M66" s="106">
        <f>الجدول1[[#This Row],[Project Start Date | Contract]]</f>
        <v>0</v>
      </c>
      <c r="N66" s="110"/>
      <c r="O66" s="110"/>
      <c r="P66" s="110"/>
      <c r="Q66" s="110"/>
      <c r="R66" s="109"/>
      <c r="S66" s="31">
        <f>IF(M66=0,0, WORKDAY.INTL( WORKDAY.INTL(M66,N66+(O66*P66),7,List!$M$3:$M$100),List!$K$4,7,List!$M$3:$M$100))</f>
        <v>0</v>
      </c>
      <c r="T66" s="110"/>
      <c r="U66" s="110"/>
      <c r="V66" s="110"/>
      <c r="W66" s="110"/>
      <c r="X66" s="109"/>
      <c r="Y66" s="35">
        <f>IF(S66=0,0,WORKDAY.INTL(S66,T66+(U66*V66),7,List!$M$3:$M$100))</f>
        <v>0</v>
      </c>
      <c r="Z66" s="110"/>
      <c r="AA66" s="110"/>
      <c r="AB66" s="110"/>
      <c r="AC66" s="109"/>
      <c r="AD66" s="109"/>
      <c r="AE66" s="109"/>
      <c r="AF66" s="111"/>
      <c r="AG6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7" spans="4:35" x14ac:dyDescent="0.2">
      <c r="D67" s="104"/>
      <c r="E67" s="103"/>
      <c r="F67" s="105"/>
      <c r="G67" s="103"/>
      <c r="H67" s="103"/>
      <c r="I67" s="106">
        <f>IF(الجدول1[[#This Row],[Signing Contract Date]]=0,0,WORKDAY.INTL(الجدول1[[#This Row],[Signing Contract Date]],List!$J$4,7,List!$M$3:$M$100))</f>
        <v>0</v>
      </c>
      <c r="J67" s="107">
        <f>IF(Z67=0,0,WORKDAY.INTL(Y67,Z67+(AA67*AB67),7,List!$M$3:$M$100))</f>
        <v>0</v>
      </c>
      <c r="K67" s="108"/>
      <c r="L67" s="109"/>
      <c r="M67" s="106">
        <f>الجدول1[[#This Row],[Project Start Date | Contract]]</f>
        <v>0</v>
      </c>
      <c r="N67" s="110"/>
      <c r="O67" s="110"/>
      <c r="P67" s="110"/>
      <c r="Q67" s="110"/>
      <c r="R67" s="109"/>
      <c r="S67" s="31">
        <f>IF(M67=0,0, WORKDAY.INTL( WORKDAY.INTL(M67,N67+(O67*P67),7,List!$M$3:$M$100),List!$K$4,7,List!$M$3:$M$100))</f>
        <v>0</v>
      </c>
      <c r="T67" s="110"/>
      <c r="U67" s="110"/>
      <c r="V67" s="110"/>
      <c r="W67" s="110"/>
      <c r="X67" s="109"/>
      <c r="Y67" s="35">
        <f>IF(S67=0,0,WORKDAY.INTL(S67,T67+(U67*V67),7,List!$M$3:$M$100))</f>
        <v>0</v>
      </c>
      <c r="Z67" s="110"/>
      <c r="AA67" s="110"/>
      <c r="AB67" s="110"/>
      <c r="AC67" s="109"/>
      <c r="AD67" s="109"/>
      <c r="AE67" s="109"/>
      <c r="AF67" s="111"/>
      <c r="AG6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8" spans="4:35" x14ac:dyDescent="0.2">
      <c r="D68" s="104"/>
      <c r="E68" s="103"/>
      <c r="F68" s="105"/>
      <c r="G68" s="103"/>
      <c r="H68" s="103"/>
      <c r="I68" s="106">
        <f>IF(الجدول1[[#This Row],[Signing Contract Date]]=0,0,WORKDAY.INTL(الجدول1[[#This Row],[Signing Contract Date]],List!$J$4,7,List!$M$3:$M$100))</f>
        <v>0</v>
      </c>
      <c r="J68" s="107">
        <f>IF(Z68=0,0,WORKDAY.INTL(Y68,Z68+(AA68*AB68),7,List!$M$3:$M$100))</f>
        <v>0</v>
      </c>
      <c r="K68" s="108"/>
      <c r="L68" s="109"/>
      <c r="M68" s="106">
        <f>الجدول1[[#This Row],[Project Start Date | Contract]]</f>
        <v>0</v>
      </c>
      <c r="N68" s="110"/>
      <c r="O68" s="110"/>
      <c r="P68" s="110"/>
      <c r="Q68" s="110"/>
      <c r="R68" s="109"/>
      <c r="S68" s="31">
        <f>IF(M68=0,0, WORKDAY.INTL( WORKDAY.INTL(M68,N68+(O68*P68),7,List!$M$3:$M$100),List!$K$4,7,List!$M$3:$M$100))</f>
        <v>0</v>
      </c>
      <c r="T68" s="110"/>
      <c r="U68" s="110"/>
      <c r="V68" s="110"/>
      <c r="W68" s="110"/>
      <c r="X68" s="109"/>
      <c r="Y68" s="35">
        <f>IF(S68=0,0,WORKDAY.INTL(S68,T68+(U68*V68),7,List!$M$3:$M$100))</f>
        <v>0</v>
      </c>
      <c r="Z68" s="110"/>
      <c r="AA68" s="110"/>
      <c r="AB68" s="110"/>
      <c r="AC68" s="109"/>
      <c r="AD68" s="109"/>
      <c r="AE68" s="109"/>
      <c r="AF68" s="111"/>
      <c r="AG6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69" spans="4:35" x14ac:dyDescent="0.2">
      <c r="D69" s="104"/>
      <c r="E69" s="103"/>
      <c r="F69" s="105"/>
      <c r="G69" s="103"/>
      <c r="H69" s="103"/>
      <c r="I69" s="106">
        <f>IF(الجدول1[[#This Row],[Signing Contract Date]]=0,0,WORKDAY.INTL(الجدول1[[#This Row],[Signing Contract Date]],List!$J$4,7,List!$M$3:$M$100))</f>
        <v>0</v>
      </c>
      <c r="J69" s="107">
        <f>IF(Z69=0,0,WORKDAY.INTL(Y69,Z69+(AA69*AB69),7,List!$M$3:$M$100))</f>
        <v>0</v>
      </c>
      <c r="K69" s="108"/>
      <c r="L69" s="109"/>
      <c r="M69" s="106">
        <f>الجدول1[[#This Row],[Project Start Date | Contract]]</f>
        <v>0</v>
      </c>
      <c r="N69" s="110"/>
      <c r="O69" s="110"/>
      <c r="P69" s="110"/>
      <c r="Q69" s="110"/>
      <c r="R69" s="109"/>
      <c r="S69" s="31">
        <f>IF(M69=0,0, WORKDAY.INTL( WORKDAY.INTL(M69,N69+(O69*P69),7,List!$M$3:$M$100),List!$K$4,7,List!$M$3:$M$100))</f>
        <v>0</v>
      </c>
      <c r="T69" s="110"/>
      <c r="U69" s="110"/>
      <c r="V69" s="110"/>
      <c r="W69" s="110"/>
      <c r="X69" s="109"/>
      <c r="Y69" s="35">
        <f>IF(S69=0,0,WORKDAY.INTL(S69,T69+(U69*V69),7,List!$M$3:$M$100))</f>
        <v>0</v>
      </c>
      <c r="Z69" s="110"/>
      <c r="AA69" s="110"/>
      <c r="AB69" s="110"/>
      <c r="AC69" s="109"/>
      <c r="AD69" s="109"/>
      <c r="AE69" s="109"/>
      <c r="AF69" s="111"/>
      <c r="AG6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6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6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0" spans="4:35" x14ac:dyDescent="0.2">
      <c r="D70" s="104"/>
      <c r="E70" s="103"/>
      <c r="F70" s="105"/>
      <c r="G70" s="103"/>
      <c r="H70" s="103"/>
      <c r="I70" s="106">
        <f>IF(الجدول1[[#This Row],[Signing Contract Date]]=0,0,WORKDAY.INTL(الجدول1[[#This Row],[Signing Contract Date]],List!$J$4,7,List!$M$3:$M$100))</f>
        <v>0</v>
      </c>
      <c r="J70" s="107">
        <f>IF(Z70=0,0,WORKDAY.INTL(Y70,Z70+(AA70*AB70),7,List!$M$3:$M$100))</f>
        <v>0</v>
      </c>
      <c r="K70" s="108"/>
      <c r="L70" s="109"/>
      <c r="M70" s="106">
        <f>الجدول1[[#This Row],[Project Start Date | Contract]]</f>
        <v>0</v>
      </c>
      <c r="N70" s="110"/>
      <c r="O70" s="110"/>
      <c r="P70" s="110"/>
      <c r="Q70" s="110"/>
      <c r="R70" s="109"/>
      <c r="S70" s="31">
        <f>IF(M70=0,0, WORKDAY.INTL( WORKDAY.INTL(M70,N70+(O70*P70),7,List!$M$3:$M$100),List!$K$4,7,List!$M$3:$M$100))</f>
        <v>0</v>
      </c>
      <c r="T70" s="110"/>
      <c r="U70" s="110"/>
      <c r="V70" s="110"/>
      <c r="W70" s="110"/>
      <c r="X70" s="109"/>
      <c r="Y70" s="35">
        <f>IF(S70=0,0,WORKDAY.INTL(S70,T70+(U70*V70),7,List!$M$3:$M$100))</f>
        <v>0</v>
      </c>
      <c r="Z70" s="110"/>
      <c r="AA70" s="110"/>
      <c r="AB70" s="110"/>
      <c r="AC70" s="109"/>
      <c r="AD70" s="109"/>
      <c r="AE70" s="109"/>
      <c r="AF70" s="111"/>
      <c r="AG7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1" spans="4:35" x14ac:dyDescent="0.2">
      <c r="D71" s="104"/>
      <c r="E71" s="103"/>
      <c r="F71" s="105"/>
      <c r="G71" s="103"/>
      <c r="H71" s="103"/>
      <c r="I71" s="106">
        <f>IF(الجدول1[[#This Row],[Signing Contract Date]]=0,0,WORKDAY.INTL(الجدول1[[#This Row],[Signing Contract Date]],List!$J$4,7,List!$M$3:$M$100))</f>
        <v>0</v>
      </c>
      <c r="J71" s="107">
        <f>IF(Z71=0,0,WORKDAY.INTL(Y71,Z71+(AA71*AB71),7,List!$M$3:$M$100))</f>
        <v>0</v>
      </c>
      <c r="K71" s="108"/>
      <c r="L71" s="109"/>
      <c r="M71" s="106">
        <f>الجدول1[[#This Row],[Project Start Date | Contract]]</f>
        <v>0</v>
      </c>
      <c r="N71" s="110"/>
      <c r="O71" s="110"/>
      <c r="P71" s="110"/>
      <c r="Q71" s="110"/>
      <c r="R71" s="109"/>
      <c r="S71" s="31">
        <f>IF(M71=0,0, WORKDAY.INTL( WORKDAY.INTL(M71,N71+(O71*P71),7,List!$M$3:$M$100),List!$K$4,7,List!$M$3:$M$100))</f>
        <v>0</v>
      </c>
      <c r="T71" s="110"/>
      <c r="U71" s="110"/>
      <c r="V71" s="110"/>
      <c r="W71" s="110"/>
      <c r="X71" s="109"/>
      <c r="Y71" s="35">
        <f>IF(S71=0,0,WORKDAY.INTL(S71,T71+(U71*V71),7,List!$M$3:$M$100))</f>
        <v>0</v>
      </c>
      <c r="Z71" s="110"/>
      <c r="AA71" s="110"/>
      <c r="AB71" s="110"/>
      <c r="AC71" s="109"/>
      <c r="AD71" s="109"/>
      <c r="AE71" s="109"/>
      <c r="AF71" s="111"/>
      <c r="AG7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2" spans="4:35" x14ac:dyDescent="0.2">
      <c r="D72" s="104"/>
      <c r="E72" s="103"/>
      <c r="F72" s="105"/>
      <c r="G72" s="103"/>
      <c r="H72" s="103"/>
      <c r="I72" s="106">
        <f>IF(الجدول1[[#This Row],[Signing Contract Date]]=0,0,WORKDAY.INTL(الجدول1[[#This Row],[Signing Contract Date]],List!$J$4,7,List!$M$3:$M$100))</f>
        <v>0</v>
      </c>
      <c r="J72" s="107">
        <f>IF(Z72=0,0,WORKDAY.INTL(Y72,Z72+(AA72*AB72),7,List!$M$3:$M$100))</f>
        <v>0</v>
      </c>
      <c r="K72" s="108"/>
      <c r="L72" s="109"/>
      <c r="M72" s="106">
        <f>الجدول1[[#This Row],[Project Start Date | Contract]]</f>
        <v>0</v>
      </c>
      <c r="N72" s="110"/>
      <c r="O72" s="110"/>
      <c r="P72" s="110"/>
      <c r="Q72" s="110"/>
      <c r="R72" s="109"/>
      <c r="S72" s="31">
        <f>IF(M72=0,0, WORKDAY.INTL( WORKDAY.INTL(M72,N72+(O72*P72),7,List!$M$3:$M$100),List!$K$4,7,List!$M$3:$M$100))</f>
        <v>0</v>
      </c>
      <c r="T72" s="110"/>
      <c r="U72" s="110"/>
      <c r="V72" s="110"/>
      <c r="W72" s="110"/>
      <c r="X72" s="109"/>
      <c r="Y72" s="35">
        <f>IF(S72=0,0,WORKDAY.INTL(S72,T72+(U72*V72),7,List!$M$3:$M$100))</f>
        <v>0</v>
      </c>
      <c r="Z72" s="110"/>
      <c r="AA72" s="110"/>
      <c r="AB72" s="110"/>
      <c r="AC72" s="109"/>
      <c r="AD72" s="109"/>
      <c r="AE72" s="109"/>
      <c r="AF72" s="111"/>
      <c r="AG7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3" spans="4:35" x14ac:dyDescent="0.2">
      <c r="D73" s="104"/>
      <c r="E73" s="103"/>
      <c r="F73" s="105"/>
      <c r="G73" s="103"/>
      <c r="H73" s="103"/>
      <c r="I73" s="106">
        <f>IF(الجدول1[[#This Row],[Signing Contract Date]]=0,0,WORKDAY.INTL(الجدول1[[#This Row],[Signing Contract Date]],List!$J$4,7,List!$M$3:$M$100))</f>
        <v>0</v>
      </c>
      <c r="J73" s="107">
        <f>IF(Z73=0,0,WORKDAY.INTL(Y73,Z73+(AA73*AB73),7,List!$M$3:$M$100))</f>
        <v>0</v>
      </c>
      <c r="K73" s="108"/>
      <c r="L73" s="109"/>
      <c r="M73" s="106">
        <f>الجدول1[[#This Row],[Project Start Date | Contract]]</f>
        <v>0</v>
      </c>
      <c r="N73" s="110"/>
      <c r="O73" s="110"/>
      <c r="P73" s="110"/>
      <c r="Q73" s="110"/>
      <c r="R73" s="109"/>
      <c r="S73" s="31">
        <f>IF(M73=0,0, WORKDAY.INTL( WORKDAY.INTL(M73,N73+(O73*P73),7,List!$M$3:$M$100),List!$K$4,7,List!$M$3:$M$100))</f>
        <v>0</v>
      </c>
      <c r="T73" s="110"/>
      <c r="U73" s="110"/>
      <c r="V73" s="110"/>
      <c r="W73" s="110"/>
      <c r="X73" s="109"/>
      <c r="Y73" s="35">
        <f>IF(S73=0,0,WORKDAY.INTL(S73,T73+(U73*V73),7,List!$M$3:$M$100))</f>
        <v>0</v>
      </c>
      <c r="Z73" s="110"/>
      <c r="AA73" s="110"/>
      <c r="AB73" s="110"/>
      <c r="AC73" s="109"/>
      <c r="AD73" s="109"/>
      <c r="AE73" s="109"/>
      <c r="AF73" s="111"/>
      <c r="AG7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4" spans="4:35" x14ac:dyDescent="0.2">
      <c r="D74" s="104"/>
      <c r="E74" s="103"/>
      <c r="F74" s="105"/>
      <c r="G74" s="103"/>
      <c r="H74" s="103"/>
      <c r="I74" s="106">
        <f>IF(الجدول1[[#This Row],[Signing Contract Date]]=0,0,WORKDAY.INTL(الجدول1[[#This Row],[Signing Contract Date]],List!$J$4,7,List!$M$3:$M$100))</f>
        <v>0</v>
      </c>
      <c r="J74" s="107">
        <f>IF(Z74=0,0,WORKDAY.INTL(Y74,Z74+(AA74*AB74),7,List!$M$3:$M$100))</f>
        <v>0</v>
      </c>
      <c r="K74" s="108"/>
      <c r="L74" s="109"/>
      <c r="M74" s="106">
        <f>الجدول1[[#This Row],[Project Start Date | Contract]]</f>
        <v>0</v>
      </c>
      <c r="N74" s="110"/>
      <c r="O74" s="110"/>
      <c r="P74" s="110"/>
      <c r="Q74" s="110"/>
      <c r="R74" s="109"/>
      <c r="S74" s="31">
        <f>IF(M74=0,0, WORKDAY.INTL( WORKDAY.INTL(M74,N74+(O74*P74),7,List!$M$3:$M$100),List!$K$4,7,List!$M$3:$M$100))</f>
        <v>0</v>
      </c>
      <c r="T74" s="110"/>
      <c r="U74" s="110"/>
      <c r="V74" s="110"/>
      <c r="W74" s="110"/>
      <c r="X74" s="109"/>
      <c r="Y74" s="35">
        <f>IF(S74=0,0,WORKDAY.INTL(S74,T74+(U74*V74),7,List!$M$3:$M$100))</f>
        <v>0</v>
      </c>
      <c r="Z74" s="110"/>
      <c r="AA74" s="110"/>
      <c r="AB74" s="110"/>
      <c r="AC74" s="109"/>
      <c r="AD74" s="109"/>
      <c r="AE74" s="109"/>
      <c r="AF74" s="111"/>
      <c r="AG7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5" spans="4:35" x14ac:dyDescent="0.2">
      <c r="D75" s="104"/>
      <c r="E75" s="103"/>
      <c r="F75" s="105"/>
      <c r="G75" s="103"/>
      <c r="H75" s="103"/>
      <c r="I75" s="106">
        <f>IF(الجدول1[[#This Row],[Signing Contract Date]]=0,0,WORKDAY.INTL(الجدول1[[#This Row],[Signing Contract Date]],List!$J$4,7,List!$M$3:$M$100))</f>
        <v>0</v>
      </c>
      <c r="J75" s="107">
        <f>IF(Z75=0,0,WORKDAY.INTL(Y75,Z75+(AA75*AB75),7,List!$M$3:$M$100))</f>
        <v>0</v>
      </c>
      <c r="K75" s="108"/>
      <c r="L75" s="109"/>
      <c r="M75" s="106">
        <f>الجدول1[[#This Row],[Project Start Date | Contract]]</f>
        <v>0</v>
      </c>
      <c r="N75" s="110"/>
      <c r="O75" s="110"/>
      <c r="P75" s="110"/>
      <c r="Q75" s="110"/>
      <c r="R75" s="109"/>
      <c r="S75" s="31">
        <f>IF(M75=0,0, WORKDAY.INTL( WORKDAY.INTL(M75,N75+(O75*P75),7,List!$M$3:$M$100),List!$K$4,7,List!$M$3:$M$100))</f>
        <v>0</v>
      </c>
      <c r="T75" s="110"/>
      <c r="U75" s="110"/>
      <c r="V75" s="110"/>
      <c r="W75" s="110"/>
      <c r="X75" s="109"/>
      <c r="Y75" s="35">
        <f>IF(S75=0,0,WORKDAY.INTL(S75,T75+(U75*V75),7,List!$M$3:$M$100))</f>
        <v>0</v>
      </c>
      <c r="Z75" s="110"/>
      <c r="AA75" s="110"/>
      <c r="AB75" s="110"/>
      <c r="AC75" s="109"/>
      <c r="AD75" s="109"/>
      <c r="AE75" s="109"/>
      <c r="AF75" s="111"/>
      <c r="AG7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6" spans="4:35" x14ac:dyDescent="0.2">
      <c r="D76" s="104"/>
      <c r="E76" s="103"/>
      <c r="F76" s="105"/>
      <c r="G76" s="103"/>
      <c r="H76" s="103"/>
      <c r="I76" s="106">
        <f>IF(الجدول1[[#This Row],[Signing Contract Date]]=0,0,WORKDAY.INTL(الجدول1[[#This Row],[Signing Contract Date]],List!$J$4,7,List!$M$3:$M$100))</f>
        <v>0</v>
      </c>
      <c r="J76" s="107">
        <f>IF(Z76=0,0,WORKDAY.INTL(Y76,Z76+(AA76*AB76),7,List!$M$3:$M$100))</f>
        <v>0</v>
      </c>
      <c r="K76" s="108"/>
      <c r="L76" s="109"/>
      <c r="M76" s="106">
        <f>الجدول1[[#This Row],[Project Start Date | Contract]]</f>
        <v>0</v>
      </c>
      <c r="N76" s="110"/>
      <c r="O76" s="110"/>
      <c r="P76" s="110"/>
      <c r="Q76" s="110"/>
      <c r="R76" s="109"/>
      <c r="S76" s="31">
        <f>IF(M76=0,0, WORKDAY.INTL( WORKDAY.INTL(M76,N76+(O76*P76),7,List!$M$3:$M$100),List!$K$4,7,List!$M$3:$M$100))</f>
        <v>0</v>
      </c>
      <c r="T76" s="110"/>
      <c r="U76" s="110"/>
      <c r="V76" s="110"/>
      <c r="W76" s="110"/>
      <c r="X76" s="109"/>
      <c r="Y76" s="35">
        <f>IF(S76=0,0,WORKDAY.INTL(S76,T76+(U76*V76),7,List!$M$3:$M$100))</f>
        <v>0</v>
      </c>
      <c r="Z76" s="110"/>
      <c r="AA76" s="110"/>
      <c r="AB76" s="110"/>
      <c r="AC76" s="109"/>
      <c r="AD76" s="109"/>
      <c r="AE76" s="109"/>
      <c r="AF76" s="111"/>
      <c r="AG7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7" spans="4:35" x14ac:dyDescent="0.2">
      <c r="D77" s="104"/>
      <c r="E77" s="103"/>
      <c r="F77" s="105"/>
      <c r="G77" s="103"/>
      <c r="H77" s="103"/>
      <c r="I77" s="106">
        <f>IF(الجدول1[[#This Row],[Signing Contract Date]]=0,0,WORKDAY.INTL(الجدول1[[#This Row],[Signing Contract Date]],List!$J$4,7,List!$M$3:$M$100))</f>
        <v>0</v>
      </c>
      <c r="J77" s="107">
        <f>IF(Z77=0,0,WORKDAY.INTL(Y77,Z77+(AA77*AB77),7,List!$M$3:$M$100))</f>
        <v>0</v>
      </c>
      <c r="K77" s="108"/>
      <c r="L77" s="109"/>
      <c r="M77" s="106">
        <f>الجدول1[[#This Row],[Project Start Date | Contract]]</f>
        <v>0</v>
      </c>
      <c r="N77" s="110"/>
      <c r="O77" s="110"/>
      <c r="P77" s="110"/>
      <c r="Q77" s="110"/>
      <c r="R77" s="109"/>
      <c r="S77" s="31">
        <f>IF(M77=0,0, WORKDAY.INTL( WORKDAY.INTL(M77,N77+(O77*P77),7,List!$M$3:$M$100),List!$K$4,7,List!$M$3:$M$100))</f>
        <v>0</v>
      </c>
      <c r="T77" s="110"/>
      <c r="U77" s="110">
        <f>2</f>
        <v>2</v>
      </c>
      <c r="V77" s="110">
        <f>10</f>
        <v>10</v>
      </c>
      <c r="W77" s="110"/>
      <c r="X77" s="109"/>
      <c r="Y77" s="35">
        <f>IF(S77=0,0,WORKDAY.INTL(S77,T77+(U77*V77),7,List!$M$3:$M$100))</f>
        <v>0</v>
      </c>
      <c r="Z77" s="110"/>
      <c r="AA77" s="110"/>
      <c r="AB77" s="110"/>
      <c r="AC77" s="109"/>
      <c r="AD77" s="109"/>
      <c r="AE77" s="109"/>
      <c r="AF77" s="111"/>
      <c r="AG7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8" spans="4:35" x14ac:dyDescent="0.2">
      <c r="D78" s="104"/>
      <c r="E78" s="103"/>
      <c r="F78" s="105"/>
      <c r="G78" s="103"/>
      <c r="H78" s="103"/>
      <c r="I78" s="106">
        <f>IF(الجدول1[[#This Row],[Signing Contract Date]]=0,0,WORKDAY.INTL(الجدول1[[#This Row],[Signing Contract Date]],List!$J$4,7,List!$M$3:$M$100))</f>
        <v>0</v>
      </c>
      <c r="J78" s="107">
        <f>IF(Z78=0,0,WORKDAY.INTL(Y78,Z78+(AA78*AB78),7,List!$M$3:$M$100))</f>
        <v>0</v>
      </c>
      <c r="K78" s="108"/>
      <c r="L78" s="109"/>
      <c r="M78" s="106">
        <f>الجدول1[[#This Row],[Project Start Date | Contract]]</f>
        <v>0</v>
      </c>
      <c r="N78" s="110"/>
      <c r="O78" s="110"/>
      <c r="P78" s="110"/>
      <c r="Q78" s="110"/>
      <c r="R78" s="109"/>
      <c r="S78" s="31">
        <f>IF(M78=0,0, WORKDAY.INTL( WORKDAY.INTL(M78,N78+(O78*P78),7,List!$M$3:$M$100),List!$K$4,7,List!$M$3:$M$100))</f>
        <v>0</v>
      </c>
      <c r="T78" s="110"/>
      <c r="U78" s="110">
        <f>2</f>
        <v>2</v>
      </c>
      <c r="V78" s="110">
        <f>10</f>
        <v>10</v>
      </c>
      <c r="W78" s="110"/>
      <c r="X78" s="109"/>
      <c r="Y78" s="35">
        <f>IF(S78=0,0,WORKDAY.INTL(S78,T78+(U78*V78),7,List!$M$3:$M$100))</f>
        <v>0</v>
      </c>
      <c r="Z78" s="110"/>
      <c r="AA78" s="110"/>
      <c r="AB78" s="110"/>
      <c r="AC78" s="109"/>
      <c r="AD78" s="109"/>
      <c r="AE78" s="109"/>
      <c r="AF78" s="111"/>
      <c r="AG7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79" spans="4:35" x14ac:dyDescent="0.2">
      <c r="D79" s="104"/>
      <c r="E79" s="103"/>
      <c r="F79" s="105"/>
      <c r="G79" s="103"/>
      <c r="H79" s="103"/>
      <c r="I79" s="106">
        <f>IF(الجدول1[[#This Row],[Signing Contract Date]]=0,0,WORKDAY.INTL(الجدول1[[#This Row],[Signing Contract Date]],List!$J$4,7,List!$M$3:$M$100))</f>
        <v>0</v>
      </c>
      <c r="J79" s="107">
        <f>IF(Z79=0,0,WORKDAY.INTL(Y79,Z79+(AA79*AB79),7,List!$M$3:$M$100))</f>
        <v>0</v>
      </c>
      <c r="K79" s="108"/>
      <c r="L79" s="109"/>
      <c r="M79" s="106">
        <f>الجدول1[[#This Row],[Project Start Date | Contract]]</f>
        <v>0</v>
      </c>
      <c r="N79" s="110"/>
      <c r="O79" s="110"/>
      <c r="P79" s="110"/>
      <c r="Q79" s="110"/>
      <c r="R79" s="109"/>
      <c r="S79" s="31">
        <f>IF(M79=0,0, WORKDAY.INTL( WORKDAY.INTL(M79,N79+(O79*P79),7,List!$M$3:$M$100),List!$K$4,7,List!$M$3:$M$100))</f>
        <v>0</v>
      </c>
      <c r="T79" s="110"/>
      <c r="U79" s="110">
        <f>2</f>
        <v>2</v>
      </c>
      <c r="V79" s="110">
        <f>10</f>
        <v>10</v>
      </c>
      <c r="W79" s="110"/>
      <c r="X79" s="109"/>
      <c r="Y79" s="35">
        <f>IF(S79=0,0,WORKDAY.INTL(S79,T79+(U79*V79),7,List!$M$3:$M$100))</f>
        <v>0</v>
      </c>
      <c r="Z79" s="110"/>
      <c r="AA79" s="110"/>
      <c r="AB79" s="110"/>
      <c r="AC79" s="109"/>
      <c r="AD79" s="109"/>
      <c r="AE79" s="109"/>
      <c r="AF79" s="111"/>
      <c r="AG7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7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7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0" spans="4:35" x14ac:dyDescent="0.2">
      <c r="D80" s="104"/>
      <c r="E80" s="103"/>
      <c r="F80" s="105"/>
      <c r="G80" s="103"/>
      <c r="H80" s="103"/>
      <c r="I80" s="106">
        <f>IF(الجدول1[[#This Row],[Signing Contract Date]]=0,0,WORKDAY.INTL(الجدول1[[#This Row],[Signing Contract Date]],List!$J$4,7,List!$M$3:$M$100))</f>
        <v>0</v>
      </c>
      <c r="J80" s="107">
        <f>IF(Z80=0,0,WORKDAY.INTL(Y80,Z80+(AA80*AB80),7,List!$M$3:$M$100))</f>
        <v>0</v>
      </c>
      <c r="K80" s="108"/>
      <c r="L80" s="109"/>
      <c r="M80" s="106">
        <f>الجدول1[[#This Row],[Project Start Date | Contract]]</f>
        <v>0</v>
      </c>
      <c r="N80" s="110"/>
      <c r="O80" s="110"/>
      <c r="P80" s="110"/>
      <c r="Q80" s="110"/>
      <c r="R80" s="109"/>
      <c r="S80" s="31">
        <f>IF(M80=0,0, WORKDAY.INTL( WORKDAY.INTL(M80,N80+(O80*P80),7,List!$M$3:$M$100),List!$K$4,7,List!$M$3:$M$100))</f>
        <v>0</v>
      </c>
      <c r="T80" s="110"/>
      <c r="U80" s="110">
        <f>2</f>
        <v>2</v>
      </c>
      <c r="V80" s="110">
        <f>10</f>
        <v>10</v>
      </c>
      <c r="W80" s="110"/>
      <c r="X80" s="109"/>
      <c r="Y80" s="35">
        <f>IF(S80=0,0,WORKDAY.INTL(S80,T80+(U80*V80),7,List!$M$3:$M$100))</f>
        <v>0</v>
      </c>
      <c r="Z80" s="110"/>
      <c r="AA80" s="110"/>
      <c r="AB80" s="110"/>
      <c r="AC80" s="109"/>
      <c r="AD80" s="109"/>
      <c r="AE80" s="109"/>
      <c r="AF80" s="111"/>
      <c r="AG8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1" spans="4:35" x14ac:dyDescent="0.2">
      <c r="D81" s="104"/>
      <c r="E81" s="103"/>
      <c r="F81" s="105"/>
      <c r="G81" s="103"/>
      <c r="H81" s="103"/>
      <c r="I81" s="106">
        <f>IF(الجدول1[[#This Row],[Signing Contract Date]]=0,0,WORKDAY.INTL(الجدول1[[#This Row],[Signing Contract Date]],List!$J$4,7,List!$M$3:$M$100))</f>
        <v>0</v>
      </c>
      <c r="J81" s="107">
        <f>IF(Z81=0,0,WORKDAY.INTL(Y81,Z81+(AA81*AB81),7,List!$M$3:$M$100))</f>
        <v>0</v>
      </c>
      <c r="K81" s="108"/>
      <c r="L81" s="109"/>
      <c r="M81" s="106">
        <f>الجدول1[[#This Row],[Project Start Date | Contract]]</f>
        <v>0</v>
      </c>
      <c r="N81" s="110"/>
      <c r="O81" s="110"/>
      <c r="P81" s="110"/>
      <c r="Q81" s="110"/>
      <c r="R81" s="109"/>
      <c r="S81" s="31">
        <f>IF(M81=0,0, WORKDAY.INTL( WORKDAY.INTL(M81,N81+(O81*P81),7,List!$M$3:$M$100),List!$K$4,7,List!$M$3:$M$100))</f>
        <v>0</v>
      </c>
      <c r="T81" s="110"/>
      <c r="U81" s="110">
        <f>2</f>
        <v>2</v>
      </c>
      <c r="V81" s="110">
        <f>10</f>
        <v>10</v>
      </c>
      <c r="W81" s="110"/>
      <c r="X81" s="109"/>
      <c r="Y81" s="35">
        <f>IF(S81=0,0,WORKDAY.INTL(S81,T81+(U81*V81),7,List!$M$3:$M$100))</f>
        <v>0</v>
      </c>
      <c r="Z81" s="110"/>
      <c r="AA81" s="110">
        <f>2</f>
        <v>2</v>
      </c>
      <c r="AB81" s="110">
        <f>10</f>
        <v>10</v>
      </c>
      <c r="AC81" s="109"/>
      <c r="AD81" s="109"/>
      <c r="AE81" s="109"/>
      <c r="AF81" s="111"/>
      <c r="AG8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2" spans="4:35" x14ac:dyDescent="0.2">
      <c r="D82" s="104"/>
      <c r="E82" s="103"/>
      <c r="F82" s="105"/>
      <c r="G82" s="103"/>
      <c r="H82" s="103"/>
      <c r="I82" s="106">
        <f>IF(الجدول1[[#This Row],[Signing Contract Date]]=0,0,WORKDAY.INTL(الجدول1[[#This Row],[Signing Contract Date]],List!$J$4,7,List!$M$3:$M$100))</f>
        <v>0</v>
      </c>
      <c r="J82" s="107">
        <f>IF(Z82=0,0,WORKDAY.INTL(Y82,Z82+(AA82*AB82),7,List!$M$3:$M$100))</f>
        <v>0</v>
      </c>
      <c r="K82" s="108"/>
      <c r="L82" s="109"/>
      <c r="M82" s="106">
        <f>الجدول1[[#This Row],[Project Start Date | Contract]]</f>
        <v>0</v>
      </c>
      <c r="N82" s="110"/>
      <c r="O82" s="110"/>
      <c r="P82" s="110"/>
      <c r="Q82" s="110"/>
      <c r="R82" s="109"/>
      <c r="S82" s="31">
        <f>IF(M82=0,0, WORKDAY.INTL( WORKDAY.INTL(M82,N82+(O82*P82),7,List!$M$3:$M$100),List!$K$4,7,List!$M$3:$M$100))</f>
        <v>0</v>
      </c>
      <c r="T82" s="110"/>
      <c r="U82" s="110">
        <f>2</f>
        <v>2</v>
      </c>
      <c r="V82" s="110">
        <f>10</f>
        <v>10</v>
      </c>
      <c r="W82" s="110"/>
      <c r="X82" s="109"/>
      <c r="Y82" s="35">
        <f>IF(S82=0,0,WORKDAY.INTL(S82,T82+(U82*V82),7,List!$M$3:$M$100))</f>
        <v>0</v>
      </c>
      <c r="Z82" s="110"/>
      <c r="AA82" s="110">
        <f>2</f>
        <v>2</v>
      </c>
      <c r="AB82" s="110">
        <f>10</f>
        <v>10</v>
      </c>
      <c r="AC82" s="109"/>
      <c r="AD82" s="109"/>
      <c r="AE82" s="109"/>
      <c r="AF82" s="111"/>
      <c r="AG8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3" spans="4:35" x14ac:dyDescent="0.2">
      <c r="D83" s="104"/>
      <c r="E83" s="103"/>
      <c r="F83" s="105"/>
      <c r="G83" s="103"/>
      <c r="H83" s="103"/>
      <c r="I83" s="106">
        <f>IF(الجدول1[[#This Row],[Signing Contract Date]]=0,0,WORKDAY.INTL(الجدول1[[#This Row],[Signing Contract Date]],List!$J$4,7,List!$M$3:$M$100))</f>
        <v>0</v>
      </c>
      <c r="J83" s="107">
        <f>IF(Z83=0,0,WORKDAY.INTL(Y83,Z83+(AA83*AB83),7,List!$M$3:$M$100))</f>
        <v>0</v>
      </c>
      <c r="K83" s="108"/>
      <c r="L83" s="109"/>
      <c r="M83" s="106">
        <f>الجدول1[[#This Row],[Project Start Date | Contract]]</f>
        <v>0</v>
      </c>
      <c r="N83" s="110"/>
      <c r="O83" s="110"/>
      <c r="P83" s="110"/>
      <c r="Q83" s="110"/>
      <c r="R83" s="109"/>
      <c r="S83" s="31">
        <f>IF(M83=0,0, WORKDAY.INTL( WORKDAY.INTL(M83,N83+(O83*P83),7,List!$M$3:$M$100),List!$K$4,7,List!$M$3:$M$100))</f>
        <v>0</v>
      </c>
      <c r="T83" s="110"/>
      <c r="U83" s="110">
        <f>2</f>
        <v>2</v>
      </c>
      <c r="V83" s="110">
        <f>10</f>
        <v>10</v>
      </c>
      <c r="W83" s="110"/>
      <c r="X83" s="109"/>
      <c r="Y83" s="35">
        <f>IF(S83=0,0,WORKDAY.INTL(S83,T83+(U83*V83),7,List!$M$3:$M$100))</f>
        <v>0</v>
      </c>
      <c r="Z83" s="110"/>
      <c r="AA83" s="110">
        <f>2</f>
        <v>2</v>
      </c>
      <c r="AB83" s="110">
        <f>10</f>
        <v>10</v>
      </c>
      <c r="AC83" s="109"/>
      <c r="AD83" s="109"/>
      <c r="AE83" s="109"/>
      <c r="AF83" s="111"/>
      <c r="AG8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4" spans="4:35" x14ac:dyDescent="0.2">
      <c r="D84" s="104"/>
      <c r="E84" s="103"/>
      <c r="F84" s="105"/>
      <c r="G84" s="103"/>
      <c r="H84" s="103"/>
      <c r="I84" s="106">
        <f>IF(الجدول1[[#This Row],[Signing Contract Date]]=0,0,WORKDAY.INTL(الجدول1[[#This Row],[Signing Contract Date]],List!$J$4,7,List!$M$3:$M$100))</f>
        <v>0</v>
      </c>
      <c r="J84" s="107">
        <f>IF(Z84=0,0,WORKDAY.INTL(Y84,Z84+(AA84*AB84),7,List!$M$3:$M$100))</f>
        <v>0</v>
      </c>
      <c r="K84" s="108"/>
      <c r="L84" s="109"/>
      <c r="M84" s="106">
        <f>الجدول1[[#This Row],[Project Start Date | Contract]]</f>
        <v>0</v>
      </c>
      <c r="N84" s="110"/>
      <c r="O84" s="110"/>
      <c r="P84" s="110"/>
      <c r="Q84" s="110"/>
      <c r="R84" s="109"/>
      <c r="S84" s="31">
        <f>IF(M84=0,0, WORKDAY.INTL( WORKDAY.INTL(M84,N84+(O84*P84),7,List!$M$3:$M$100),List!$K$4,7,List!$M$3:$M$100))</f>
        <v>0</v>
      </c>
      <c r="T84" s="110"/>
      <c r="U84" s="110">
        <f>2</f>
        <v>2</v>
      </c>
      <c r="V84" s="110">
        <f>10</f>
        <v>10</v>
      </c>
      <c r="W84" s="110"/>
      <c r="X84" s="109"/>
      <c r="Y84" s="35">
        <f>IF(S84=0,0,WORKDAY.INTL(S84,T84+(U84*V84),7,List!$M$3:$M$100))</f>
        <v>0</v>
      </c>
      <c r="Z84" s="110"/>
      <c r="AA84" s="110">
        <f>2</f>
        <v>2</v>
      </c>
      <c r="AB84" s="110">
        <f>10</f>
        <v>10</v>
      </c>
      <c r="AC84" s="109"/>
      <c r="AD84" s="109"/>
      <c r="AE84" s="109"/>
      <c r="AF84" s="111"/>
      <c r="AG8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5" spans="4:35" x14ac:dyDescent="0.2">
      <c r="D85" s="104"/>
      <c r="E85" s="103"/>
      <c r="F85" s="105"/>
      <c r="G85" s="103"/>
      <c r="H85" s="103"/>
      <c r="I85" s="106">
        <f>IF(الجدول1[[#This Row],[Signing Contract Date]]=0,0,WORKDAY.INTL(الجدول1[[#This Row],[Signing Contract Date]],List!$J$4,7,List!$M$3:$M$100))</f>
        <v>0</v>
      </c>
      <c r="J85" s="107">
        <f>IF(Z85=0,0,WORKDAY.INTL(Y85,Z85+(AA85*AB85),7,List!$M$3:$M$100))</f>
        <v>0</v>
      </c>
      <c r="K85" s="108"/>
      <c r="L85" s="109"/>
      <c r="M85" s="106">
        <f>الجدول1[[#This Row],[Project Start Date | Contract]]</f>
        <v>0</v>
      </c>
      <c r="N85" s="110"/>
      <c r="O85" s="110"/>
      <c r="P85" s="110"/>
      <c r="Q85" s="110"/>
      <c r="R85" s="109"/>
      <c r="S85" s="31">
        <f>IF(M85=0,0, WORKDAY.INTL( WORKDAY.INTL(M85,N85+(O85*P85),7,List!$M$3:$M$100),List!$K$4,7,List!$M$3:$M$100))</f>
        <v>0</v>
      </c>
      <c r="T85" s="110"/>
      <c r="U85" s="110">
        <f>2</f>
        <v>2</v>
      </c>
      <c r="V85" s="110">
        <f>10</f>
        <v>10</v>
      </c>
      <c r="W85" s="110"/>
      <c r="X85" s="109"/>
      <c r="Y85" s="35">
        <f>IF(S85=0,0,WORKDAY.INTL(S85,T85+(U85*V85),7,List!$M$3:$M$100))</f>
        <v>0</v>
      </c>
      <c r="Z85" s="110"/>
      <c r="AA85" s="110">
        <f>2</f>
        <v>2</v>
      </c>
      <c r="AB85" s="110">
        <f>10</f>
        <v>10</v>
      </c>
      <c r="AC85" s="109"/>
      <c r="AD85" s="109"/>
      <c r="AE85" s="109"/>
      <c r="AF85" s="111"/>
      <c r="AG8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6" spans="4:35" x14ac:dyDescent="0.2">
      <c r="D86" s="104"/>
      <c r="E86" s="103"/>
      <c r="F86" s="105"/>
      <c r="G86" s="103"/>
      <c r="H86" s="103"/>
      <c r="I86" s="106">
        <f>IF(الجدول1[[#This Row],[Signing Contract Date]]=0,0,WORKDAY.INTL(الجدول1[[#This Row],[Signing Contract Date]],List!$J$4,7,List!$M$3:$M$100))</f>
        <v>0</v>
      </c>
      <c r="J86" s="107">
        <f>IF(Z86=0,0,WORKDAY.INTL(Y86,Z86+(AA86*AB86),7,List!$M$3:$M$100))</f>
        <v>0</v>
      </c>
      <c r="K86" s="108"/>
      <c r="L86" s="109"/>
      <c r="M86" s="106">
        <f>الجدول1[[#This Row],[Project Start Date | Contract]]</f>
        <v>0</v>
      </c>
      <c r="N86" s="110"/>
      <c r="O86" s="110"/>
      <c r="P86" s="110"/>
      <c r="Q86" s="110"/>
      <c r="R86" s="109"/>
      <c r="S86" s="31">
        <f>IF(M86=0,0, WORKDAY.INTL( WORKDAY.INTL(M86,N86+(O86*P86),7,List!$M$3:$M$100),List!$K$4,7,List!$M$3:$M$100))</f>
        <v>0</v>
      </c>
      <c r="T86" s="110"/>
      <c r="U86" s="110">
        <f>2</f>
        <v>2</v>
      </c>
      <c r="V86" s="110">
        <f>10</f>
        <v>10</v>
      </c>
      <c r="W86" s="110"/>
      <c r="X86" s="109"/>
      <c r="Y86" s="35">
        <f>IF(S86=0,0,WORKDAY.INTL(S86,T86+(U86*V86),7,List!$M$3:$M$100))</f>
        <v>0</v>
      </c>
      <c r="Z86" s="110"/>
      <c r="AA86" s="110">
        <f>2</f>
        <v>2</v>
      </c>
      <c r="AB86" s="110">
        <f>10</f>
        <v>10</v>
      </c>
      <c r="AC86" s="109"/>
      <c r="AD86" s="109"/>
      <c r="AE86" s="109"/>
      <c r="AF86" s="111"/>
      <c r="AG8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7" spans="4:35" x14ac:dyDescent="0.2">
      <c r="D87" s="104"/>
      <c r="E87" s="103"/>
      <c r="F87" s="105"/>
      <c r="G87" s="103"/>
      <c r="H87" s="103"/>
      <c r="I87" s="106">
        <f>IF(الجدول1[[#This Row],[Signing Contract Date]]=0,0,WORKDAY.INTL(الجدول1[[#This Row],[Signing Contract Date]],List!$J$4,7,List!$M$3:$M$100))</f>
        <v>0</v>
      </c>
      <c r="J87" s="107">
        <f>IF(Z87=0,0,WORKDAY.INTL(Y87,Z87+(AA87*AB87),7,List!$M$3:$M$100))</f>
        <v>0</v>
      </c>
      <c r="K87" s="108"/>
      <c r="L87" s="109"/>
      <c r="M87" s="106">
        <f>الجدول1[[#This Row],[Project Start Date | Contract]]</f>
        <v>0</v>
      </c>
      <c r="N87" s="110"/>
      <c r="O87" s="110"/>
      <c r="P87" s="110"/>
      <c r="Q87" s="110"/>
      <c r="R87" s="109"/>
      <c r="S87" s="31">
        <f>IF(M87=0,0, WORKDAY.INTL( WORKDAY.INTL(M87,N87+(O87*P87),7,List!$M$3:$M$100),List!$K$4,7,List!$M$3:$M$100))</f>
        <v>0</v>
      </c>
      <c r="T87" s="110"/>
      <c r="U87" s="110">
        <f>2</f>
        <v>2</v>
      </c>
      <c r="V87" s="110">
        <f>10</f>
        <v>10</v>
      </c>
      <c r="W87" s="110"/>
      <c r="X87" s="109"/>
      <c r="Y87" s="35">
        <f>IF(S87=0,0,WORKDAY.INTL(S87,T87+(U87*V87),7,List!$M$3:$M$100))</f>
        <v>0</v>
      </c>
      <c r="Z87" s="110"/>
      <c r="AA87" s="110">
        <f>2</f>
        <v>2</v>
      </c>
      <c r="AB87" s="110">
        <f>10</f>
        <v>10</v>
      </c>
      <c r="AC87" s="109"/>
      <c r="AD87" s="109"/>
      <c r="AE87" s="109"/>
      <c r="AF87" s="111"/>
      <c r="AG8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8" spans="4:35" x14ac:dyDescent="0.2">
      <c r="D88" s="104"/>
      <c r="E88" s="103"/>
      <c r="F88" s="105"/>
      <c r="G88" s="103"/>
      <c r="H88" s="103"/>
      <c r="I88" s="106">
        <f>IF(الجدول1[[#This Row],[Signing Contract Date]]=0,0,WORKDAY.INTL(الجدول1[[#This Row],[Signing Contract Date]],List!$J$4,7,List!$M$3:$M$100))</f>
        <v>0</v>
      </c>
      <c r="J88" s="107">
        <f>IF(Z88=0,0,WORKDAY.INTL(Y88,Z88+(AA88*AB88),7,List!$M$3:$M$100))</f>
        <v>0</v>
      </c>
      <c r="K88" s="108"/>
      <c r="L88" s="109"/>
      <c r="M88" s="106">
        <f>الجدول1[[#This Row],[Project Start Date | Contract]]</f>
        <v>0</v>
      </c>
      <c r="N88" s="110"/>
      <c r="O88" s="110"/>
      <c r="P88" s="110"/>
      <c r="Q88" s="110"/>
      <c r="R88" s="109"/>
      <c r="S88" s="31">
        <f>IF(M88=0,0, WORKDAY.INTL( WORKDAY.INTL(M88,N88+(O88*P88),7,List!$M$3:$M$100),List!$K$4,7,List!$M$3:$M$100))</f>
        <v>0</v>
      </c>
      <c r="T88" s="110"/>
      <c r="U88" s="110">
        <f>2</f>
        <v>2</v>
      </c>
      <c r="V88" s="110">
        <f>10</f>
        <v>10</v>
      </c>
      <c r="W88" s="110"/>
      <c r="X88" s="109"/>
      <c r="Y88" s="35">
        <f>IF(S88=0,0,WORKDAY.INTL(S88,T88+(U88*V88),7,List!$M$3:$M$100))</f>
        <v>0</v>
      </c>
      <c r="Z88" s="110"/>
      <c r="AA88" s="110">
        <f>2</f>
        <v>2</v>
      </c>
      <c r="AB88" s="110">
        <f>10</f>
        <v>10</v>
      </c>
      <c r="AC88" s="109"/>
      <c r="AD88" s="109"/>
      <c r="AE88" s="109"/>
      <c r="AF88" s="111"/>
      <c r="AG8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89" spans="4:35" x14ac:dyDescent="0.2">
      <c r="D89" s="104"/>
      <c r="E89" s="103"/>
      <c r="F89" s="105"/>
      <c r="G89" s="103"/>
      <c r="H89" s="103"/>
      <c r="I89" s="106">
        <f>IF(الجدول1[[#This Row],[Signing Contract Date]]=0,0,WORKDAY.INTL(الجدول1[[#This Row],[Signing Contract Date]],List!$J$4,7,List!$M$3:$M$100))</f>
        <v>0</v>
      </c>
      <c r="J89" s="107">
        <f>IF(Z89=0,0,WORKDAY.INTL(Y89,Z89+(AA89*AB89),7,List!$M$3:$M$100))</f>
        <v>0</v>
      </c>
      <c r="K89" s="108"/>
      <c r="L89" s="109"/>
      <c r="M89" s="106">
        <f>الجدول1[[#This Row],[Project Start Date | Contract]]</f>
        <v>0</v>
      </c>
      <c r="N89" s="110"/>
      <c r="O89" s="110"/>
      <c r="P89" s="110"/>
      <c r="Q89" s="110"/>
      <c r="R89" s="109"/>
      <c r="S89" s="31">
        <f>IF(M89=0,0, WORKDAY.INTL( WORKDAY.INTL(M89,N89+(O89*P89),7,List!$M$3:$M$100),List!$K$4,7,List!$M$3:$M$100))</f>
        <v>0</v>
      </c>
      <c r="T89" s="110"/>
      <c r="U89" s="110">
        <f>2</f>
        <v>2</v>
      </c>
      <c r="V89" s="110">
        <f>10</f>
        <v>10</v>
      </c>
      <c r="W89" s="110"/>
      <c r="X89" s="109"/>
      <c r="Y89" s="35">
        <f>IF(S89=0,0,WORKDAY.INTL(S89,T89+(U89*V89),7,List!$M$3:$M$100))</f>
        <v>0</v>
      </c>
      <c r="Z89" s="110"/>
      <c r="AA89" s="110">
        <f>2</f>
        <v>2</v>
      </c>
      <c r="AB89" s="110">
        <f>10</f>
        <v>10</v>
      </c>
      <c r="AC89" s="109"/>
      <c r="AD89" s="109"/>
      <c r="AE89" s="109"/>
      <c r="AF89" s="111"/>
      <c r="AG8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8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8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0" spans="4:35" x14ac:dyDescent="0.2">
      <c r="D90" s="104"/>
      <c r="E90" s="103"/>
      <c r="F90" s="105"/>
      <c r="G90" s="103"/>
      <c r="H90" s="103"/>
      <c r="I90" s="106">
        <f>IF(الجدول1[[#This Row],[Signing Contract Date]]=0,0,WORKDAY.INTL(الجدول1[[#This Row],[Signing Contract Date]],List!$J$4,7,List!$M$3:$M$100))</f>
        <v>0</v>
      </c>
      <c r="J90" s="107">
        <f>IF(Z90=0,0,WORKDAY.INTL(Y90,Z90+(AA90*AB90),7,List!$M$3:$M$100))</f>
        <v>0</v>
      </c>
      <c r="K90" s="108"/>
      <c r="L90" s="109"/>
      <c r="M90" s="106">
        <f>الجدول1[[#This Row],[Project Start Date | Contract]]</f>
        <v>0</v>
      </c>
      <c r="N90" s="110"/>
      <c r="O90" s="110"/>
      <c r="P90" s="110"/>
      <c r="Q90" s="110"/>
      <c r="R90" s="109"/>
      <c r="S90" s="31">
        <f>IF(M90=0,0, WORKDAY.INTL( WORKDAY.INTL(M90,N90+(O90*P90),7,List!$M$3:$M$100),List!$K$4,7,List!$M$3:$M$100))</f>
        <v>0</v>
      </c>
      <c r="T90" s="110"/>
      <c r="U90" s="110">
        <f>2</f>
        <v>2</v>
      </c>
      <c r="V90" s="110">
        <f>10</f>
        <v>10</v>
      </c>
      <c r="W90" s="110"/>
      <c r="X90" s="109"/>
      <c r="Y90" s="35">
        <f>IF(S90=0,0,WORKDAY.INTL(S90,T90+(U90*V90),7,List!$M$3:$M$100))</f>
        <v>0</v>
      </c>
      <c r="Z90" s="110"/>
      <c r="AA90" s="110">
        <f>2</f>
        <v>2</v>
      </c>
      <c r="AB90" s="110">
        <f>10</f>
        <v>10</v>
      </c>
      <c r="AC90" s="109"/>
      <c r="AD90" s="109"/>
      <c r="AE90" s="109"/>
      <c r="AF90" s="111"/>
      <c r="AG9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1" spans="4:35" x14ac:dyDescent="0.2">
      <c r="D91" s="104"/>
      <c r="E91" s="103"/>
      <c r="F91" s="105"/>
      <c r="G91" s="103"/>
      <c r="H91" s="103"/>
      <c r="I91" s="106">
        <f>IF(الجدول1[[#This Row],[Signing Contract Date]]=0,0,WORKDAY.INTL(الجدول1[[#This Row],[Signing Contract Date]],List!$J$4,7,List!$M$3:$M$100))</f>
        <v>0</v>
      </c>
      <c r="J91" s="107">
        <f>IF(Z91=0,0,WORKDAY.INTL(Y91,Z91+(AA91*AB91),7,List!$M$3:$M$100))</f>
        <v>0</v>
      </c>
      <c r="K91" s="108"/>
      <c r="L91" s="109"/>
      <c r="M91" s="106">
        <f>الجدول1[[#This Row],[Project Start Date | Contract]]</f>
        <v>0</v>
      </c>
      <c r="N91" s="110"/>
      <c r="O91" s="110"/>
      <c r="P91" s="110"/>
      <c r="Q91" s="110"/>
      <c r="R91" s="109"/>
      <c r="S91" s="31">
        <f>IF(M91=0,0, WORKDAY.INTL( WORKDAY.INTL(M91,N91+(O91*P91),7,List!$M$3:$M$100),List!$K$4,7,List!$M$3:$M$100))</f>
        <v>0</v>
      </c>
      <c r="T91" s="110"/>
      <c r="U91" s="110">
        <f>2</f>
        <v>2</v>
      </c>
      <c r="V91" s="110">
        <f>10</f>
        <v>10</v>
      </c>
      <c r="W91" s="110"/>
      <c r="X91" s="109"/>
      <c r="Y91" s="35">
        <f>IF(S91=0,0,WORKDAY.INTL(S91,T91+(U91*V91),7,List!$M$3:$M$100))</f>
        <v>0</v>
      </c>
      <c r="Z91" s="110"/>
      <c r="AA91" s="110">
        <f>2</f>
        <v>2</v>
      </c>
      <c r="AB91" s="110">
        <f>10</f>
        <v>10</v>
      </c>
      <c r="AC91" s="109"/>
      <c r="AD91" s="109"/>
      <c r="AE91" s="109"/>
      <c r="AF91" s="111"/>
      <c r="AG9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2" spans="4:35" x14ac:dyDescent="0.2">
      <c r="D92" s="104"/>
      <c r="E92" s="103"/>
      <c r="F92" s="105"/>
      <c r="G92" s="103"/>
      <c r="H92" s="103"/>
      <c r="I92" s="106">
        <f>IF(الجدول1[[#This Row],[Signing Contract Date]]=0,0,WORKDAY.INTL(الجدول1[[#This Row],[Signing Contract Date]],List!$J$4,7,List!$M$3:$M$100))</f>
        <v>0</v>
      </c>
      <c r="J92" s="107">
        <f>IF(Z92=0,0,WORKDAY.INTL(Y92,Z92+(AA92*AB92),7,List!$M$3:$M$100))</f>
        <v>0</v>
      </c>
      <c r="K92" s="108"/>
      <c r="L92" s="109"/>
      <c r="M92" s="106">
        <f>الجدول1[[#This Row],[Project Start Date | Contract]]</f>
        <v>0</v>
      </c>
      <c r="N92" s="110"/>
      <c r="O92" s="110"/>
      <c r="P92" s="110"/>
      <c r="Q92" s="110"/>
      <c r="R92" s="109"/>
      <c r="S92" s="31">
        <f>IF(M92=0,0, WORKDAY.INTL( WORKDAY.INTL(M92,N92+(O92*P92),7,List!$M$3:$M$100),List!$K$4,7,List!$M$3:$M$100))</f>
        <v>0</v>
      </c>
      <c r="T92" s="110"/>
      <c r="U92" s="110">
        <f>2</f>
        <v>2</v>
      </c>
      <c r="V92" s="110">
        <f>10</f>
        <v>10</v>
      </c>
      <c r="W92" s="110"/>
      <c r="X92" s="109"/>
      <c r="Y92" s="35">
        <f>IF(S92=0,0,WORKDAY.INTL(S92,T92+(U92*V92),7,List!$M$3:$M$100))</f>
        <v>0</v>
      </c>
      <c r="Z92" s="110"/>
      <c r="AA92" s="110">
        <f>2</f>
        <v>2</v>
      </c>
      <c r="AB92" s="110">
        <f>10</f>
        <v>10</v>
      </c>
      <c r="AC92" s="109"/>
      <c r="AD92" s="109"/>
      <c r="AE92" s="109"/>
      <c r="AF92" s="111"/>
      <c r="AG9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3" spans="4:35" x14ac:dyDescent="0.2">
      <c r="D93" s="104"/>
      <c r="E93" s="103"/>
      <c r="F93" s="105"/>
      <c r="G93" s="103"/>
      <c r="H93" s="103"/>
      <c r="I93" s="106">
        <f>IF(الجدول1[[#This Row],[Signing Contract Date]]=0,0,WORKDAY.INTL(الجدول1[[#This Row],[Signing Contract Date]],List!$J$4,7,List!$M$3:$M$100))</f>
        <v>0</v>
      </c>
      <c r="J93" s="107">
        <f>IF(Z93=0,0,WORKDAY.INTL(Y93,Z93+(AA93*AB93),7,List!$M$3:$M$100))</f>
        <v>0</v>
      </c>
      <c r="K93" s="108"/>
      <c r="L93" s="109"/>
      <c r="M93" s="106">
        <f>الجدول1[[#This Row],[Project Start Date | Contract]]</f>
        <v>0</v>
      </c>
      <c r="N93" s="110"/>
      <c r="O93" s="110"/>
      <c r="P93" s="110"/>
      <c r="Q93" s="110"/>
      <c r="R93" s="109"/>
      <c r="S93" s="31">
        <f>IF(M93=0,0, WORKDAY.INTL( WORKDAY.INTL(M93,N93+(O93*P93),7,List!$M$3:$M$100),List!$K$4,7,List!$M$3:$M$100))</f>
        <v>0</v>
      </c>
      <c r="T93" s="110"/>
      <c r="U93" s="110">
        <f>2</f>
        <v>2</v>
      </c>
      <c r="V93" s="110">
        <f>10</f>
        <v>10</v>
      </c>
      <c r="W93" s="110"/>
      <c r="X93" s="109"/>
      <c r="Y93" s="35">
        <f>IF(S93=0,0,WORKDAY.INTL(S93,T93+(U93*V93),7,List!$M$3:$M$100))</f>
        <v>0</v>
      </c>
      <c r="Z93" s="110"/>
      <c r="AA93" s="110">
        <f>2</f>
        <v>2</v>
      </c>
      <c r="AB93" s="110">
        <f>10</f>
        <v>10</v>
      </c>
      <c r="AC93" s="109"/>
      <c r="AD93" s="109"/>
      <c r="AE93" s="109"/>
      <c r="AF93" s="111"/>
      <c r="AG9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4" spans="4:35" x14ac:dyDescent="0.2">
      <c r="D94" s="104"/>
      <c r="E94" s="103"/>
      <c r="F94" s="105"/>
      <c r="G94" s="103"/>
      <c r="H94" s="103"/>
      <c r="I94" s="106">
        <f>IF(الجدول1[[#This Row],[Signing Contract Date]]=0,0,WORKDAY.INTL(الجدول1[[#This Row],[Signing Contract Date]],List!$J$4,7,List!$M$3:$M$100))</f>
        <v>0</v>
      </c>
      <c r="J94" s="107">
        <f>IF(Z94=0,0,WORKDAY.INTL(Y94,Z94+(AA94*AB94),7,List!$M$3:$M$100))</f>
        <v>0</v>
      </c>
      <c r="K94" s="108"/>
      <c r="L94" s="109"/>
      <c r="M94" s="106">
        <f>الجدول1[[#This Row],[Project Start Date | Contract]]</f>
        <v>0</v>
      </c>
      <c r="N94" s="110"/>
      <c r="O94" s="110"/>
      <c r="P94" s="110"/>
      <c r="Q94" s="110"/>
      <c r="R94" s="109"/>
      <c r="S94" s="31">
        <f>IF(M94=0,0, WORKDAY.INTL( WORKDAY.INTL(M94,N94+(O94*P94),7,List!$M$3:$M$100),List!$K$4,7,List!$M$3:$M$100))</f>
        <v>0</v>
      </c>
      <c r="T94" s="110"/>
      <c r="U94" s="110">
        <f>2</f>
        <v>2</v>
      </c>
      <c r="V94" s="110">
        <f>10</f>
        <v>10</v>
      </c>
      <c r="W94" s="110"/>
      <c r="X94" s="109"/>
      <c r="Y94" s="35">
        <f>IF(S94=0,0,WORKDAY.INTL(S94,T94+(U94*V94),7,List!$M$3:$M$100))</f>
        <v>0</v>
      </c>
      <c r="Z94" s="110"/>
      <c r="AA94" s="110">
        <f>2</f>
        <v>2</v>
      </c>
      <c r="AB94" s="110">
        <f>10</f>
        <v>10</v>
      </c>
      <c r="AC94" s="109"/>
      <c r="AD94" s="109"/>
      <c r="AE94" s="109"/>
      <c r="AF94" s="111"/>
      <c r="AG9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5" spans="4:35" x14ac:dyDescent="0.2">
      <c r="D95" s="104"/>
      <c r="E95" s="103"/>
      <c r="F95" s="105"/>
      <c r="G95" s="103"/>
      <c r="H95" s="103"/>
      <c r="I95" s="106">
        <f>IF(الجدول1[[#This Row],[Signing Contract Date]]=0,0,WORKDAY.INTL(الجدول1[[#This Row],[Signing Contract Date]],List!$J$4,7,List!$M$3:$M$100))</f>
        <v>0</v>
      </c>
      <c r="J95" s="107">
        <f>IF(Z95=0,0,WORKDAY.INTL(Y95,Z95+(AA95*AB95),7,List!$M$3:$M$100))</f>
        <v>0</v>
      </c>
      <c r="K95" s="108"/>
      <c r="L95" s="109"/>
      <c r="M95" s="106">
        <f>الجدول1[[#This Row],[Project Start Date | Contract]]</f>
        <v>0</v>
      </c>
      <c r="N95" s="110"/>
      <c r="O95" s="110"/>
      <c r="P95" s="110"/>
      <c r="Q95" s="110"/>
      <c r="R95" s="109"/>
      <c r="S95" s="31">
        <f>IF(M95=0,0, WORKDAY.INTL( WORKDAY.INTL(M95,N95+(O95*P95),7,List!$M$3:$M$100),List!$K$4,7,List!$M$3:$M$100))</f>
        <v>0</v>
      </c>
      <c r="T95" s="110"/>
      <c r="U95" s="110">
        <f>2</f>
        <v>2</v>
      </c>
      <c r="V95" s="110">
        <f>10</f>
        <v>10</v>
      </c>
      <c r="W95" s="110"/>
      <c r="X95" s="109"/>
      <c r="Y95" s="35">
        <f>IF(S95=0,0,WORKDAY.INTL(S95,T95+(U95*V95),7,List!$M$3:$M$100))</f>
        <v>0</v>
      </c>
      <c r="Z95" s="110"/>
      <c r="AA95" s="110">
        <f>2</f>
        <v>2</v>
      </c>
      <c r="AB95" s="110">
        <f>10</f>
        <v>10</v>
      </c>
      <c r="AC95" s="109"/>
      <c r="AD95" s="109"/>
      <c r="AE95" s="109"/>
      <c r="AF95" s="111"/>
      <c r="AG9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6" spans="4:35" x14ac:dyDescent="0.2">
      <c r="D96" s="104"/>
      <c r="E96" s="103"/>
      <c r="F96" s="105"/>
      <c r="G96" s="103"/>
      <c r="H96" s="103"/>
      <c r="I96" s="106">
        <f>IF(الجدول1[[#This Row],[Signing Contract Date]]=0,0,WORKDAY.INTL(الجدول1[[#This Row],[Signing Contract Date]],List!$J$4,7,List!$M$3:$M$100))</f>
        <v>0</v>
      </c>
      <c r="J96" s="107">
        <f>IF(Z96=0,0,WORKDAY.INTL(Y96,Z96+(AA96*AB96),7,List!$M$3:$M$100))</f>
        <v>0</v>
      </c>
      <c r="K96" s="108"/>
      <c r="L96" s="109"/>
      <c r="M96" s="106">
        <f>الجدول1[[#This Row],[Project Start Date | Contract]]</f>
        <v>0</v>
      </c>
      <c r="N96" s="110"/>
      <c r="O96" s="110"/>
      <c r="P96" s="110"/>
      <c r="Q96" s="110"/>
      <c r="R96" s="109"/>
      <c r="S96" s="31">
        <f>IF(M96=0,0, WORKDAY.INTL( WORKDAY.INTL(M96,N96+(O96*P96),7,List!$M$3:$M$100),List!$K$4,7,List!$M$3:$M$100))</f>
        <v>0</v>
      </c>
      <c r="T96" s="110"/>
      <c r="U96" s="110">
        <f>2</f>
        <v>2</v>
      </c>
      <c r="V96" s="110">
        <f>10</f>
        <v>10</v>
      </c>
      <c r="W96" s="110"/>
      <c r="X96" s="109"/>
      <c r="Y96" s="35">
        <f>IF(S96=0,0,WORKDAY.INTL(S96,T96+(U96*V96),7,List!$M$3:$M$100))</f>
        <v>0</v>
      </c>
      <c r="Z96" s="110"/>
      <c r="AA96" s="110">
        <f>2</f>
        <v>2</v>
      </c>
      <c r="AB96" s="110">
        <f>10</f>
        <v>10</v>
      </c>
      <c r="AC96" s="109"/>
      <c r="AD96" s="109"/>
      <c r="AE96" s="109"/>
      <c r="AF96" s="111"/>
      <c r="AG9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7" spans="4:35" x14ac:dyDescent="0.2">
      <c r="D97" s="104"/>
      <c r="E97" s="103"/>
      <c r="F97" s="105"/>
      <c r="G97" s="103"/>
      <c r="H97" s="103"/>
      <c r="I97" s="106">
        <f>IF(الجدول1[[#This Row],[Signing Contract Date]]=0,0,WORKDAY.INTL(الجدول1[[#This Row],[Signing Contract Date]],List!$J$4,7,List!$M$3:$M$100))</f>
        <v>0</v>
      </c>
      <c r="J97" s="107">
        <f>IF(Z97=0,0,WORKDAY.INTL(Y97,Z97+(AA97*AB97),7,List!$M$3:$M$100))</f>
        <v>0</v>
      </c>
      <c r="K97" s="108"/>
      <c r="L97" s="109"/>
      <c r="M97" s="106">
        <f>الجدول1[[#This Row],[Project Start Date | Contract]]</f>
        <v>0</v>
      </c>
      <c r="N97" s="110"/>
      <c r="O97" s="110"/>
      <c r="P97" s="110"/>
      <c r="Q97" s="110"/>
      <c r="R97" s="109"/>
      <c r="S97" s="31">
        <f>IF(M97=0,0, WORKDAY.INTL( WORKDAY.INTL(M97,N97+(O97*P97),7,List!$M$3:$M$100),List!$K$4,7,List!$M$3:$M$100))</f>
        <v>0</v>
      </c>
      <c r="T97" s="110"/>
      <c r="U97" s="110">
        <f>2</f>
        <v>2</v>
      </c>
      <c r="V97" s="110">
        <f>10</f>
        <v>10</v>
      </c>
      <c r="W97" s="110"/>
      <c r="X97" s="109"/>
      <c r="Y97" s="35">
        <f>IF(S97=0,0,WORKDAY.INTL(S97,T97+(U97*V97),7,List!$M$3:$M$100))</f>
        <v>0</v>
      </c>
      <c r="Z97" s="110"/>
      <c r="AA97" s="110">
        <f>2</f>
        <v>2</v>
      </c>
      <c r="AB97" s="110">
        <f>10</f>
        <v>10</v>
      </c>
      <c r="AC97" s="109"/>
      <c r="AD97" s="109"/>
      <c r="AE97" s="109"/>
      <c r="AF97" s="111"/>
      <c r="AG9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8" spans="4:35" x14ac:dyDescent="0.2">
      <c r="D98" s="104"/>
      <c r="E98" s="103"/>
      <c r="F98" s="105"/>
      <c r="G98" s="103"/>
      <c r="H98" s="103"/>
      <c r="I98" s="106">
        <f>IF(الجدول1[[#This Row],[Signing Contract Date]]=0,0,WORKDAY.INTL(الجدول1[[#This Row],[Signing Contract Date]],List!$J$4,7,List!$M$3:$M$100))</f>
        <v>0</v>
      </c>
      <c r="J98" s="107">
        <f>IF(Z98=0,0,WORKDAY.INTL(Y98,Z98+(AA98*AB98),7,List!$M$3:$M$100))</f>
        <v>0</v>
      </c>
      <c r="K98" s="108"/>
      <c r="L98" s="109"/>
      <c r="M98" s="106">
        <f>الجدول1[[#This Row],[Project Start Date | Contract]]</f>
        <v>0</v>
      </c>
      <c r="N98" s="110"/>
      <c r="O98" s="110"/>
      <c r="P98" s="110"/>
      <c r="Q98" s="110"/>
      <c r="R98" s="109"/>
      <c r="S98" s="31">
        <f>IF(M98=0,0, WORKDAY.INTL( WORKDAY.INTL(M98,N98+(O98*P98),7,List!$M$3:$M$100),List!$K$4,7,List!$M$3:$M$100))</f>
        <v>0</v>
      </c>
      <c r="T98" s="110"/>
      <c r="U98" s="110">
        <f>2</f>
        <v>2</v>
      </c>
      <c r="V98" s="110">
        <f>10</f>
        <v>10</v>
      </c>
      <c r="W98" s="110"/>
      <c r="X98" s="109"/>
      <c r="Y98" s="35">
        <f>IF(S98=0,0,WORKDAY.INTL(S98,T98+(U98*V98),7,List!$M$3:$M$100))</f>
        <v>0</v>
      </c>
      <c r="Z98" s="110"/>
      <c r="AA98" s="110">
        <f>2</f>
        <v>2</v>
      </c>
      <c r="AB98" s="110">
        <f>10</f>
        <v>10</v>
      </c>
      <c r="AC98" s="109"/>
      <c r="AD98" s="109"/>
      <c r="AE98" s="109"/>
      <c r="AF98" s="111"/>
      <c r="AG9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99" spans="4:35" x14ac:dyDescent="0.2">
      <c r="D99" s="104"/>
      <c r="E99" s="103"/>
      <c r="F99" s="105"/>
      <c r="G99" s="103"/>
      <c r="H99" s="103"/>
      <c r="I99" s="106">
        <f>IF(الجدول1[[#This Row],[Signing Contract Date]]=0,0,WORKDAY.INTL(الجدول1[[#This Row],[Signing Contract Date]],List!$J$4,7,List!$M$3:$M$100))</f>
        <v>0</v>
      </c>
      <c r="J99" s="107">
        <f>IF(Z99=0,0,WORKDAY.INTL(Y99,Z99+(AA99*AB99),7,List!$M$3:$M$100))</f>
        <v>0</v>
      </c>
      <c r="K99" s="108"/>
      <c r="L99" s="109"/>
      <c r="M99" s="106">
        <f>الجدول1[[#This Row],[Project Start Date | Contract]]</f>
        <v>0</v>
      </c>
      <c r="N99" s="110"/>
      <c r="O99" s="110"/>
      <c r="P99" s="110"/>
      <c r="Q99" s="110"/>
      <c r="R99" s="109"/>
      <c r="S99" s="31">
        <f>IF(M99=0,0, WORKDAY.INTL( WORKDAY.INTL(M99,N99+(O99*P99),7,List!$M$3:$M$100),List!$K$4,7,List!$M$3:$M$100))</f>
        <v>0</v>
      </c>
      <c r="T99" s="110"/>
      <c r="U99" s="110">
        <f>2</f>
        <v>2</v>
      </c>
      <c r="V99" s="110">
        <f>10</f>
        <v>10</v>
      </c>
      <c r="W99" s="110"/>
      <c r="X99" s="109"/>
      <c r="Y99" s="35">
        <f>IF(S99=0,0,WORKDAY.INTL(S99,T99+(U99*V99),7,List!$M$3:$M$100))</f>
        <v>0</v>
      </c>
      <c r="Z99" s="110"/>
      <c r="AA99" s="110">
        <f>2</f>
        <v>2</v>
      </c>
      <c r="AB99" s="110">
        <f>10</f>
        <v>10</v>
      </c>
      <c r="AC99" s="109"/>
      <c r="AD99" s="109"/>
      <c r="AE99" s="109"/>
      <c r="AF99" s="111"/>
      <c r="AG9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9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9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0" spans="4:35" x14ac:dyDescent="0.2">
      <c r="D100" s="104"/>
      <c r="E100" s="103"/>
      <c r="F100" s="105"/>
      <c r="G100" s="103"/>
      <c r="H100" s="103"/>
      <c r="I100" s="106">
        <f>IF(الجدول1[[#This Row],[Signing Contract Date]]=0,0,WORKDAY.INTL(الجدول1[[#This Row],[Signing Contract Date]],List!$J$4,7,List!$M$3:$M$100))</f>
        <v>0</v>
      </c>
      <c r="J100" s="107">
        <f>IF(Z100=0,0,WORKDAY.INTL(Y100,Z100+(AA100*AB100),7,List!$M$3:$M$100))</f>
        <v>0</v>
      </c>
      <c r="K100" s="108"/>
      <c r="L100" s="109"/>
      <c r="M100" s="106">
        <f>الجدول1[[#This Row],[Project Start Date | Contract]]</f>
        <v>0</v>
      </c>
      <c r="N100" s="110"/>
      <c r="O100" s="110"/>
      <c r="P100" s="110"/>
      <c r="Q100" s="110"/>
      <c r="R100" s="109"/>
      <c r="S100" s="31">
        <f>IF(M100=0,0, WORKDAY.INTL( WORKDAY.INTL(M100,N100+(O100*P100),7,List!$M$3:$M$100),List!$K$4,7,List!$M$3:$M$100))</f>
        <v>0</v>
      </c>
      <c r="T100" s="110"/>
      <c r="U100" s="110">
        <f>2</f>
        <v>2</v>
      </c>
      <c r="V100" s="110">
        <f>10</f>
        <v>10</v>
      </c>
      <c r="W100" s="110"/>
      <c r="X100" s="109"/>
      <c r="Y100" s="35">
        <f>IF(S100=0,0,WORKDAY.INTL(S100,T100+(U100*V100),7,List!$M$3:$M$100))</f>
        <v>0</v>
      </c>
      <c r="Z100" s="110"/>
      <c r="AA100" s="110">
        <f>2</f>
        <v>2</v>
      </c>
      <c r="AB100" s="110">
        <f>10</f>
        <v>10</v>
      </c>
      <c r="AC100" s="109"/>
      <c r="AD100" s="109"/>
      <c r="AE100" s="109"/>
      <c r="AF100" s="111"/>
      <c r="AG10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1" spans="4:35" x14ac:dyDescent="0.2">
      <c r="D101" s="104"/>
      <c r="E101" s="103"/>
      <c r="F101" s="105"/>
      <c r="G101" s="103"/>
      <c r="H101" s="103"/>
      <c r="I101" s="106">
        <f>IF(الجدول1[[#This Row],[Signing Contract Date]]=0,0,WORKDAY.INTL(الجدول1[[#This Row],[Signing Contract Date]],List!$J$4,7,List!$M$3:$M$100))</f>
        <v>0</v>
      </c>
      <c r="J101" s="107">
        <f>IF(Z101=0,0,WORKDAY.INTL(Y101,Z101+(AA101*AB101),7,List!$M$3:$M$100))</f>
        <v>0</v>
      </c>
      <c r="K101" s="108"/>
      <c r="L101" s="109"/>
      <c r="M101" s="106">
        <f>الجدول1[[#This Row],[Project Start Date | Contract]]</f>
        <v>0</v>
      </c>
      <c r="N101" s="110"/>
      <c r="O101" s="110"/>
      <c r="P101" s="110"/>
      <c r="Q101" s="110"/>
      <c r="R101" s="109"/>
      <c r="S101" s="31">
        <f>IF(M101=0,0, WORKDAY.INTL( WORKDAY.INTL(M101,N101+(O101*P101),7,List!$M$3:$M$100),List!$K$4,7,List!$M$3:$M$100))</f>
        <v>0</v>
      </c>
      <c r="T101" s="110"/>
      <c r="U101" s="110">
        <f>2</f>
        <v>2</v>
      </c>
      <c r="V101" s="110">
        <f>10</f>
        <v>10</v>
      </c>
      <c r="W101" s="110"/>
      <c r="X101" s="109"/>
      <c r="Y101" s="35">
        <f>IF(S101=0,0,WORKDAY.INTL(S101,T101+(U101*V101),7,List!$M$3:$M$100))</f>
        <v>0</v>
      </c>
      <c r="Z101" s="110"/>
      <c r="AA101" s="110">
        <f>2</f>
        <v>2</v>
      </c>
      <c r="AB101" s="110">
        <f>10</f>
        <v>10</v>
      </c>
      <c r="AC101" s="109"/>
      <c r="AD101" s="109"/>
      <c r="AE101" s="109"/>
      <c r="AF101" s="111"/>
      <c r="AG10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2" spans="4:35" x14ac:dyDescent="0.2">
      <c r="D102" s="104"/>
      <c r="E102" s="103"/>
      <c r="F102" s="105"/>
      <c r="G102" s="103"/>
      <c r="H102" s="103"/>
      <c r="I102" s="106">
        <f>IF(الجدول1[[#This Row],[Signing Contract Date]]=0,0,WORKDAY.INTL(الجدول1[[#This Row],[Signing Contract Date]],List!$J$4,7,List!$M$3:$M$100))</f>
        <v>0</v>
      </c>
      <c r="J102" s="107">
        <f>IF(Z102=0,0,WORKDAY.INTL(Y102,Z102+(AA102*AB102),7,List!$M$3:$M$100))</f>
        <v>0</v>
      </c>
      <c r="K102" s="108"/>
      <c r="L102" s="109"/>
      <c r="M102" s="106">
        <f>الجدول1[[#This Row],[Project Start Date | Contract]]</f>
        <v>0</v>
      </c>
      <c r="N102" s="110"/>
      <c r="O102" s="110"/>
      <c r="P102" s="110"/>
      <c r="Q102" s="110"/>
      <c r="R102" s="109"/>
      <c r="S102" s="31">
        <f>IF(M102=0,0, WORKDAY.INTL( WORKDAY.INTL(M102,N102+(O102*P102),7,List!$M$3:$M$100),List!$K$4,7,List!$M$3:$M$100))</f>
        <v>0</v>
      </c>
      <c r="T102" s="110"/>
      <c r="U102" s="110">
        <f>2</f>
        <v>2</v>
      </c>
      <c r="V102" s="110">
        <f>10</f>
        <v>10</v>
      </c>
      <c r="W102" s="110"/>
      <c r="X102" s="109"/>
      <c r="Y102" s="35">
        <f>IF(S102=0,0,WORKDAY.INTL(S102,T102+(U102*V102),7,List!$M$3:$M$100))</f>
        <v>0</v>
      </c>
      <c r="Z102" s="110"/>
      <c r="AA102" s="110">
        <f>2</f>
        <v>2</v>
      </c>
      <c r="AB102" s="110">
        <f>10</f>
        <v>10</v>
      </c>
      <c r="AC102" s="109"/>
      <c r="AD102" s="109"/>
      <c r="AE102" s="109"/>
      <c r="AF102" s="111"/>
      <c r="AG10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3" spans="4:35" x14ac:dyDescent="0.2">
      <c r="D103" s="104"/>
      <c r="E103" s="103"/>
      <c r="F103" s="105"/>
      <c r="G103" s="103"/>
      <c r="H103" s="103"/>
      <c r="I103" s="106">
        <f>IF(الجدول1[[#This Row],[Signing Contract Date]]=0,0,WORKDAY.INTL(الجدول1[[#This Row],[Signing Contract Date]],List!$J$4,7,List!$M$3:$M$100))</f>
        <v>0</v>
      </c>
      <c r="J103" s="107">
        <f>IF(Z103=0,0,WORKDAY.INTL(Y103,Z103+(AA103*AB103),7,List!$M$3:$M$100))</f>
        <v>0</v>
      </c>
      <c r="K103" s="108"/>
      <c r="L103" s="109"/>
      <c r="M103" s="106">
        <f>الجدول1[[#This Row],[Project Start Date | Contract]]</f>
        <v>0</v>
      </c>
      <c r="N103" s="110"/>
      <c r="O103" s="110"/>
      <c r="P103" s="110"/>
      <c r="Q103" s="110"/>
      <c r="R103" s="109"/>
      <c r="S103" s="31">
        <f>IF(M103=0,0, WORKDAY.INTL( WORKDAY.INTL(M103,N103+(O103*P103),7,List!$M$3:$M$100),List!$K$4,7,List!$M$3:$M$100))</f>
        <v>0</v>
      </c>
      <c r="T103" s="110"/>
      <c r="U103" s="110">
        <f>2</f>
        <v>2</v>
      </c>
      <c r="V103" s="110">
        <f>10</f>
        <v>10</v>
      </c>
      <c r="W103" s="110"/>
      <c r="X103" s="109"/>
      <c r="Y103" s="35">
        <f>IF(S103=0,0,WORKDAY.INTL(S103,T103+(U103*V103),7,List!$M$3:$M$100))</f>
        <v>0</v>
      </c>
      <c r="Z103" s="110"/>
      <c r="AA103" s="110">
        <f>2</f>
        <v>2</v>
      </c>
      <c r="AB103" s="110">
        <f>10</f>
        <v>10</v>
      </c>
      <c r="AC103" s="109"/>
      <c r="AD103" s="109"/>
      <c r="AE103" s="109"/>
      <c r="AF103" s="111"/>
      <c r="AG10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4" spans="4:35" x14ac:dyDescent="0.2">
      <c r="D104" s="104"/>
      <c r="E104" s="103"/>
      <c r="F104" s="105"/>
      <c r="G104" s="103"/>
      <c r="H104" s="103"/>
      <c r="I104" s="106">
        <f>IF(الجدول1[[#This Row],[Signing Contract Date]]=0,0,WORKDAY.INTL(الجدول1[[#This Row],[Signing Contract Date]],List!$J$4,7,List!$M$3:$M$100))</f>
        <v>0</v>
      </c>
      <c r="J104" s="107">
        <f>IF(Z104=0,0,WORKDAY.INTL(Y104,Z104+(AA104*AB104),7,List!$M$3:$M$100))</f>
        <v>0</v>
      </c>
      <c r="K104" s="108"/>
      <c r="L104" s="109"/>
      <c r="M104" s="106">
        <f>الجدول1[[#This Row],[Project Start Date | Contract]]</f>
        <v>0</v>
      </c>
      <c r="N104" s="110"/>
      <c r="O104" s="110"/>
      <c r="P104" s="110"/>
      <c r="Q104" s="110"/>
      <c r="R104" s="109"/>
      <c r="S104" s="31">
        <f>IF(M104=0,0, WORKDAY.INTL( WORKDAY.INTL(M104,N104+(O104*P104),7,List!$M$3:$M$100),List!$K$4,7,List!$M$3:$M$100))</f>
        <v>0</v>
      </c>
      <c r="T104" s="110"/>
      <c r="U104" s="110">
        <f>2</f>
        <v>2</v>
      </c>
      <c r="V104" s="110">
        <f>10</f>
        <v>10</v>
      </c>
      <c r="W104" s="110"/>
      <c r="X104" s="109"/>
      <c r="Y104" s="35">
        <f>IF(S104=0,0,WORKDAY.INTL(S104,T104+(U104*V104),7,List!$M$3:$M$100))</f>
        <v>0</v>
      </c>
      <c r="Z104" s="110"/>
      <c r="AA104" s="110">
        <f>2</f>
        <v>2</v>
      </c>
      <c r="AB104" s="110">
        <f>10</f>
        <v>10</v>
      </c>
      <c r="AC104" s="109"/>
      <c r="AD104" s="109"/>
      <c r="AE104" s="109"/>
      <c r="AF104" s="111"/>
      <c r="AG10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5" spans="4:35" x14ac:dyDescent="0.2">
      <c r="D105" s="104"/>
      <c r="E105" s="103"/>
      <c r="F105" s="105"/>
      <c r="G105" s="103"/>
      <c r="H105" s="103"/>
      <c r="I105" s="106">
        <f>IF(الجدول1[[#This Row],[Signing Contract Date]]=0,0,WORKDAY.INTL(الجدول1[[#This Row],[Signing Contract Date]],List!$J$4,7,List!$M$3:$M$100))</f>
        <v>0</v>
      </c>
      <c r="J105" s="107">
        <f>IF(Z105=0,0,WORKDAY.INTL(Y105,Z105+(AA105*AB105),7,List!$M$3:$M$100))</f>
        <v>0</v>
      </c>
      <c r="K105" s="108"/>
      <c r="L105" s="109"/>
      <c r="M105" s="106">
        <f>الجدول1[[#This Row],[Project Start Date | Contract]]</f>
        <v>0</v>
      </c>
      <c r="N105" s="110"/>
      <c r="O105" s="110"/>
      <c r="P105" s="110"/>
      <c r="Q105" s="110"/>
      <c r="R105" s="109"/>
      <c r="S105" s="31">
        <f>IF(M105=0,0, WORKDAY.INTL( WORKDAY.INTL(M105,N105+(O105*P105),7,List!$M$3:$M$100),List!$K$4,7,List!$M$3:$M$100))</f>
        <v>0</v>
      </c>
      <c r="T105" s="110"/>
      <c r="U105" s="110">
        <f>2</f>
        <v>2</v>
      </c>
      <c r="V105" s="110">
        <f>10</f>
        <v>10</v>
      </c>
      <c r="W105" s="110"/>
      <c r="X105" s="109"/>
      <c r="Y105" s="35">
        <f>IF(S105=0,0,WORKDAY.INTL(S105,T105+(U105*V105),7,List!$M$3:$M$100))</f>
        <v>0</v>
      </c>
      <c r="Z105" s="110"/>
      <c r="AA105" s="110">
        <f>2</f>
        <v>2</v>
      </c>
      <c r="AB105" s="110">
        <f>10</f>
        <v>10</v>
      </c>
      <c r="AC105" s="109"/>
      <c r="AD105" s="109"/>
      <c r="AE105" s="109"/>
      <c r="AF105" s="111"/>
      <c r="AG10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6" spans="4:35" x14ac:dyDescent="0.2">
      <c r="D106" s="104"/>
      <c r="E106" s="103"/>
      <c r="F106" s="105"/>
      <c r="G106" s="103"/>
      <c r="H106" s="103"/>
      <c r="I106" s="106">
        <f>IF(الجدول1[[#This Row],[Signing Contract Date]]=0,0,WORKDAY.INTL(الجدول1[[#This Row],[Signing Contract Date]],List!$J$4,7,List!$M$3:$M$100))</f>
        <v>0</v>
      </c>
      <c r="J106" s="107">
        <f>IF(Z106=0,0,WORKDAY.INTL(Y106,Z106+(AA106*AB106),7,List!$M$3:$M$100))</f>
        <v>0</v>
      </c>
      <c r="K106" s="108"/>
      <c r="L106" s="109"/>
      <c r="M106" s="106">
        <f>الجدول1[[#This Row],[Project Start Date | Contract]]</f>
        <v>0</v>
      </c>
      <c r="N106" s="110"/>
      <c r="O106" s="110"/>
      <c r="P106" s="110"/>
      <c r="Q106" s="110"/>
      <c r="R106" s="109"/>
      <c r="S106" s="31">
        <f>IF(M106=0,0, WORKDAY.INTL( WORKDAY.INTL(M106,N106+(O106*P106),7,List!$M$3:$M$100),List!$K$4,7,List!$M$3:$M$100))</f>
        <v>0</v>
      </c>
      <c r="T106" s="110"/>
      <c r="U106" s="110">
        <f>2</f>
        <v>2</v>
      </c>
      <c r="V106" s="110">
        <f>10</f>
        <v>10</v>
      </c>
      <c r="W106" s="110"/>
      <c r="X106" s="109"/>
      <c r="Y106" s="35">
        <f>IF(S106=0,0,WORKDAY.INTL(S106,T106+(U106*V106),7,List!$M$3:$M$100))</f>
        <v>0</v>
      </c>
      <c r="Z106" s="110"/>
      <c r="AA106" s="110">
        <f>2</f>
        <v>2</v>
      </c>
      <c r="AB106" s="110">
        <f>10</f>
        <v>10</v>
      </c>
      <c r="AC106" s="109"/>
      <c r="AD106" s="109"/>
      <c r="AE106" s="109"/>
      <c r="AF106" s="111"/>
      <c r="AG10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7" spans="4:35" x14ac:dyDescent="0.2">
      <c r="D107" s="104"/>
      <c r="E107" s="103"/>
      <c r="F107" s="105"/>
      <c r="G107" s="103"/>
      <c r="H107" s="103"/>
      <c r="I107" s="106">
        <f>IF(الجدول1[[#This Row],[Signing Contract Date]]=0,0,WORKDAY.INTL(الجدول1[[#This Row],[Signing Contract Date]],List!$J$4,7,List!$M$3:$M$100))</f>
        <v>0</v>
      </c>
      <c r="J107" s="107">
        <f>IF(Z107=0,0,WORKDAY.INTL(Y107,Z107+(AA107*AB107),7,List!$M$3:$M$100))</f>
        <v>0</v>
      </c>
      <c r="K107" s="108"/>
      <c r="L107" s="109"/>
      <c r="M107" s="106">
        <f>الجدول1[[#This Row],[Project Start Date | Contract]]</f>
        <v>0</v>
      </c>
      <c r="N107" s="110"/>
      <c r="O107" s="110"/>
      <c r="P107" s="110"/>
      <c r="Q107" s="110"/>
      <c r="R107" s="109"/>
      <c r="S107" s="31">
        <f>IF(M107=0,0, WORKDAY.INTL( WORKDAY.INTL(M107,N107+(O107*P107),7,List!$M$3:$M$100),List!$K$4,7,List!$M$3:$M$100))</f>
        <v>0</v>
      </c>
      <c r="T107" s="110"/>
      <c r="U107" s="110">
        <f>2</f>
        <v>2</v>
      </c>
      <c r="V107" s="110">
        <f>10</f>
        <v>10</v>
      </c>
      <c r="W107" s="110"/>
      <c r="X107" s="109"/>
      <c r="Y107" s="35">
        <f>IF(S107=0,0,WORKDAY.INTL(S107,T107+(U107*V107),7,List!$M$3:$M$100))</f>
        <v>0</v>
      </c>
      <c r="Z107" s="110"/>
      <c r="AA107" s="110">
        <f>2</f>
        <v>2</v>
      </c>
      <c r="AB107" s="110">
        <f>10</f>
        <v>10</v>
      </c>
      <c r="AC107" s="109"/>
      <c r="AD107" s="109"/>
      <c r="AE107" s="109"/>
      <c r="AF107" s="111"/>
      <c r="AG10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8" spans="4:35" x14ac:dyDescent="0.2">
      <c r="D108" s="104"/>
      <c r="E108" s="103"/>
      <c r="F108" s="105"/>
      <c r="G108" s="103"/>
      <c r="H108" s="103"/>
      <c r="I108" s="106">
        <f>IF(الجدول1[[#This Row],[Signing Contract Date]]=0,0,WORKDAY.INTL(الجدول1[[#This Row],[Signing Contract Date]],List!$J$4,7,List!$M$3:$M$100))</f>
        <v>0</v>
      </c>
      <c r="J108" s="107">
        <f>IF(Z108=0,0,WORKDAY.INTL(Y108,Z108+(AA108*AB108),7,List!$M$3:$M$100))</f>
        <v>0</v>
      </c>
      <c r="K108" s="108"/>
      <c r="L108" s="109"/>
      <c r="M108" s="106">
        <f>الجدول1[[#This Row],[Project Start Date | Contract]]</f>
        <v>0</v>
      </c>
      <c r="N108" s="110"/>
      <c r="O108" s="110"/>
      <c r="P108" s="110"/>
      <c r="Q108" s="110"/>
      <c r="R108" s="109"/>
      <c r="S108" s="31">
        <f>IF(M108=0,0, WORKDAY.INTL( WORKDAY.INTL(M108,N108+(O108*P108),7,List!$M$3:$M$100),List!$K$4,7,List!$M$3:$M$100))</f>
        <v>0</v>
      </c>
      <c r="T108" s="110"/>
      <c r="U108" s="110">
        <f>2</f>
        <v>2</v>
      </c>
      <c r="V108" s="110">
        <f>10</f>
        <v>10</v>
      </c>
      <c r="W108" s="110"/>
      <c r="X108" s="109"/>
      <c r="Y108" s="35">
        <f>IF(S108=0,0,WORKDAY.INTL(S108,T108+(U108*V108),7,List!$M$3:$M$100))</f>
        <v>0</v>
      </c>
      <c r="Z108" s="110"/>
      <c r="AA108" s="110">
        <f>2</f>
        <v>2</v>
      </c>
      <c r="AB108" s="110">
        <f>10</f>
        <v>10</v>
      </c>
      <c r="AC108" s="109"/>
      <c r="AD108" s="109"/>
      <c r="AE108" s="109"/>
      <c r="AF108" s="111"/>
      <c r="AG10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09" spans="4:35" x14ac:dyDescent="0.2">
      <c r="D109" s="104"/>
      <c r="E109" s="103"/>
      <c r="F109" s="105"/>
      <c r="G109" s="103"/>
      <c r="H109" s="103"/>
      <c r="I109" s="106">
        <f>IF(الجدول1[[#This Row],[Signing Contract Date]]=0,0,WORKDAY.INTL(الجدول1[[#This Row],[Signing Contract Date]],List!$J$4,7,List!$M$3:$M$100))</f>
        <v>0</v>
      </c>
      <c r="J109" s="107">
        <f>IF(Z109=0,0,WORKDAY.INTL(Y109,Z109+(AA109*AB109),7,List!$M$3:$M$100))</f>
        <v>0</v>
      </c>
      <c r="K109" s="108"/>
      <c r="L109" s="109"/>
      <c r="M109" s="106">
        <f>الجدول1[[#This Row],[Project Start Date | Contract]]</f>
        <v>0</v>
      </c>
      <c r="N109" s="110"/>
      <c r="O109" s="110"/>
      <c r="P109" s="110"/>
      <c r="Q109" s="110"/>
      <c r="R109" s="109"/>
      <c r="S109" s="31">
        <f>IF(M109=0,0, WORKDAY.INTL( WORKDAY.INTL(M109,N109+(O109*P109),7,List!$M$3:$M$100),List!$K$4,7,List!$M$3:$M$100))</f>
        <v>0</v>
      </c>
      <c r="T109" s="110"/>
      <c r="U109" s="110">
        <f>2</f>
        <v>2</v>
      </c>
      <c r="V109" s="110">
        <f>10</f>
        <v>10</v>
      </c>
      <c r="W109" s="110"/>
      <c r="X109" s="109"/>
      <c r="Y109" s="35">
        <f>IF(S109=0,0,WORKDAY.INTL(S109,T109+(U109*V109),7,List!$M$3:$M$100))</f>
        <v>0</v>
      </c>
      <c r="Z109" s="110"/>
      <c r="AA109" s="110">
        <f>2</f>
        <v>2</v>
      </c>
      <c r="AB109" s="110">
        <f>10</f>
        <v>10</v>
      </c>
      <c r="AC109" s="109"/>
      <c r="AD109" s="109"/>
      <c r="AE109" s="109"/>
      <c r="AF109" s="111"/>
      <c r="AG10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0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0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0" spans="4:35" x14ac:dyDescent="0.2">
      <c r="D110" s="104"/>
      <c r="E110" s="103"/>
      <c r="F110" s="105"/>
      <c r="G110" s="103"/>
      <c r="H110" s="103"/>
      <c r="I110" s="106">
        <f>IF(الجدول1[[#This Row],[Signing Contract Date]]=0,0,WORKDAY.INTL(الجدول1[[#This Row],[Signing Contract Date]],List!$J$4,7,List!$M$3:$M$100))</f>
        <v>0</v>
      </c>
      <c r="J110" s="107">
        <f>IF(Z110=0,0,WORKDAY.INTL(Y110,Z110+(AA110*AB110),7,List!$M$3:$M$100))</f>
        <v>0</v>
      </c>
      <c r="K110" s="108"/>
      <c r="L110" s="109"/>
      <c r="M110" s="106">
        <f>الجدول1[[#This Row],[Project Start Date | Contract]]</f>
        <v>0</v>
      </c>
      <c r="N110" s="110"/>
      <c r="O110" s="110"/>
      <c r="P110" s="110"/>
      <c r="Q110" s="110"/>
      <c r="R110" s="109"/>
      <c r="S110" s="31">
        <f>IF(M110=0,0, WORKDAY.INTL( WORKDAY.INTL(M110,N110+(O110*P110),7,List!$M$3:$M$100),List!$K$4,7,List!$M$3:$M$100))</f>
        <v>0</v>
      </c>
      <c r="T110" s="110"/>
      <c r="U110" s="110">
        <f>2</f>
        <v>2</v>
      </c>
      <c r="V110" s="110">
        <f>10</f>
        <v>10</v>
      </c>
      <c r="W110" s="110"/>
      <c r="X110" s="109"/>
      <c r="Y110" s="35">
        <f>IF(S110=0,0,WORKDAY.INTL(S110,T110+(U110*V110),7,List!$M$3:$M$100))</f>
        <v>0</v>
      </c>
      <c r="Z110" s="110"/>
      <c r="AA110" s="110">
        <f>2</f>
        <v>2</v>
      </c>
      <c r="AB110" s="110">
        <f>10</f>
        <v>10</v>
      </c>
      <c r="AC110" s="109"/>
      <c r="AD110" s="109"/>
      <c r="AE110" s="109"/>
      <c r="AF110" s="111"/>
      <c r="AG11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1" spans="4:35" x14ac:dyDescent="0.2">
      <c r="D111" s="104"/>
      <c r="E111" s="103"/>
      <c r="F111" s="105"/>
      <c r="G111" s="103"/>
      <c r="H111" s="103"/>
      <c r="I111" s="106">
        <f>IF(الجدول1[[#This Row],[Signing Contract Date]]=0,0,WORKDAY.INTL(الجدول1[[#This Row],[Signing Contract Date]],List!$J$4,7,List!$M$3:$M$100))</f>
        <v>0</v>
      </c>
      <c r="J111" s="107">
        <f>IF(Z111=0,0,WORKDAY.INTL(Y111,Z111+(AA111*AB111),7,List!$M$3:$M$100))</f>
        <v>0</v>
      </c>
      <c r="K111" s="108"/>
      <c r="L111" s="109"/>
      <c r="M111" s="106">
        <f>الجدول1[[#This Row],[Project Start Date | Contract]]</f>
        <v>0</v>
      </c>
      <c r="N111" s="110"/>
      <c r="O111" s="110"/>
      <c r="P111" s="110"/>
      <c r="Q111" s="110"/>
      <c r="R111" s="109"/>
      <c r="S111" s="31">
        <f>IF(M111=0,0, WORKDAY.INTL( WORKDAY.INTL(M111,N111+(O111*P111),7,List!$M$3:$M$100),List!$K$4,7,List!$M$3:$M$100))</f>
        <v>0</v>
      </c>
      <c r="T111" s="110"/>
      <c r="U111" s="110">
        <f>2</f>
        <v>2</v>
      </c>
      <c r="V111" s="110">
        <f>10</f>
        <v>10</v>
      </c>
      <c r="W111" s="110"/>
      <c r="X111" s="109"/>
      <c r="Y111" s="35">
        <f>IF(S111=0,0,WORKDAY.INTL(S111,T111+(U111*V111),7,List!$M$3:$M$100))</f>
        <v>0</v>
      </c>
      <c r="Z111" s="110"/>
      <c r="AA111" s="110">
        <f>2</f>
        <v>2</v>
      </c>
      <c r="AB111" s="110">
        <f>10</f>
        <v>10</v>
      </c>
      <c r="AC111" s="109"/>
      <c r="AD111" s="109"/>
      <c r="AE111" s="109"/>
      <c r="AF111" s="111"/>
      <c r="AG11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2" spans="4:35" x14ac:dyDescent="0.2">
      <c r="D112" s="104"/>
      <c r="E112" s="103"/>
      <c r="F112" s="105"/>
      <c r="G112" s="103"/>
      <c r="H112" s="103"/>
      <c r="I112" s="106">
        <f>IF(الجدول1[[#This Row],[Signing Contract Date]]=0,0,WORKDAY.INTL(الجدول1[[#This Row],[Signing Contract Date]],List!$J$4,7,List!$M$3:$M$100))</f>
        <v>0</v>
      </c>
      <c r="J112" s="107">
        <f>IF(Z112=0,0,WORKDAY.INTL(Y112,Z112+(AA112*AB112),7,List!$M$3:$M$100))</f>
        <v>0</v>
      </c>
      <c r="K112" s="108"/>
      <c r="L112" s="109"/>
      <c r="M112" s="106">
        <f>الجدول1[[#This Row],[Project Start Date | Contract]]</f>
        <v>0</v>
      </c>
      <c r="N112" s="110"/>
      <c r="O112" s="110"/>
      <c r="P112" s="110"/>
      <c r="Q112" s="110"/>
      <c r="R112" s="109"/>
      <c r="S112" s="31">
        <f>IF(M112=0,0, WORKDAY.INTL( WORKDAY.INTL(M112,N112+(O112*P112),7,List!$M$3:$M$100),List!$K$4,7,List!$M$3:$M$100))</f>
        <v>0</v>
      </c>
      <c r="T112" s="110"/>
      <c r="U112" s="110">
        <f>2</f>
        <v>2</v>
      </c>
      <c r="V112" s="110">
        <f>10</f>
        <v>10</v>
      </c>
      <c r="W112" s="110"/>
      <c r="X112" s="109"/>
      <c r="Y112" s="35">
        <f>IF(S112=0,0,WORKDAY.INTL(S112,T112+(U112*V112),7,List!$M$3:$M$100))</f>
        <v>0</v>
      </c>
      <c r="Z112" s="110"/>
      <c r="AA112" s="110">
        <f>2</f>
        <v>2</v>
      </c>
      <c r="AB112" s="110">
        <f>10</f>
        <v>10</v>
      </c>
      <c r="AC112" s="109"/>
      <c r="AD112" s="109"/>
      <c r="AE112" s="109"/>
      <c r="AF112" s="111"/>
      <c r="AG11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3" spans="4:35" x14ac:dyDescent="0.2">
      <c r="D113" s="104"/>
      <c r="E113" s="103"/>
      <c r="F113" s="105"/>
      <c r="G113" s="103"/>
      <c r="H113" s="103"/>
      <c r="I113" s="106">
        <f>IF(الجدول1[[#This Row],[Signing Contract Date]]=0,0,WORKDAY.INTL(الجدول1[[#This Row],[Signing Contract Date]],List!$J$4,7,List!$M$3:$M$100))</f>
        <v>0</v>
      </c>
      <c r="J113" s="107">
        <f>IF(Z113=0,0,WORKDAY.INTL(Y113,Z113+(AA113*AB113),7,List!$M$3:$M$100))</f>
        <v>0</v>
      </c>
      <c r="K113" s="108"/>
      <c r="L113" s="109"/>
      <c r="M113" s="106">
        <f>الجدول1[[#This Row],[Project Start Date | Contract]]</f>
        <v>0</v>
      </c>
      <c r="N113" s="110"/>
      <c r="O113" s="110"/>
      <c r="P113" s="110"/>
      <c r="Q113" s="110"/>
      <c r="R113" s="109"/>
      <c r="S113" s="31">
        <f>IF(M113=0,0, WORKDAY.INTL( WORKDAY.INTL(M113,N113+(O113*P113),7,List!$M$3:$M$100),List!$K$4,7,List!$M$3:$M$100))</f>
        <v>0</v>
      </c>
      <c r="T113" s="110"/>
      <c r="U113" s="110">
        <f>2</f>
        <v>2</v>
      </c>
      <c r="V113" s="110">
        <f>10</f>
        <v>10</v>
      </c>
      <c r="W113" s="110"/>
      <c r="X113" s="109"/>
      <c r="Y113" s="35">
        <f>IF(S113=0,0,WORKDAY.INTL(S113,T113+(U113*V113),7,List!$M$3:$M$100))</f>
        <v>0</v>
      </c>
      <c r="Z113" s="110"/>
      <c r="AA113" s="110">
        <f>2</f>
        <v>2</v>
      </c>
      <c r="AB113" s="110">
        <f>10</f>
        <v>10</v>
      </c>
      <c r="AC113" s="109"/>
      <c r="AD113" s="109"/>
      <c r="AE113" s="109"/>
      <c r="AF113" s="111"/>
      <c r="AG11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4" spans="4:35" x14ac:dyDescent="0.2">
      <c r="D114" s="104"/>
      <c r="E114" s="103"/>
      <c r="F114" s="105"/>
      <c r="G114" s="103"/>
      <c r="H114" s="103"/>
      <c r="I114" s="106">
        <f>IF(الجدول1[[#This Row],[Signing Contract Date]]=0,0,WORKDAY.INTL(الجدول1[[#This Row],[Signing Contract Date]],List!$J$4,7,List!$M$3:$M$100))</f>
        <v>0</v>
      </c>
      <c r="J114" s="107">
        <f>IF(Z114=0,0,WORKDAY.INTL(Y114,Z114+(AA114*AB114),7,List!$M$3:$M$100))</f>
        <v>0</v>
      </c>
      <c r="K114" s="108"/>
      <c r="L114" s="109"/>
      <c r="M114" s="106">
        <f>الجدول1[[#This Row],[Project Start Date | Contract]]</f>
        <v>0</v>
      </c>
      <c r="N114" s="110"/>
      <c r="O114" s="110"/>
      <c r="P114" s="110"/>
      <c r="Q114" s="110"/>
      <c r="R114" s="109"/>
      <c r="S114" s="31">
        <f>IF(M114=0,0, WORKDAY.INTL( WORKDAY.INTL(M114,N114+(O114*P114),7,List!$M$3:$M$100),List!$K$4,7,List!$M$3:$M$100))</f>
        <v>0</v>
      </c>
      <c r="T114" s="110"/>
      <c r="U114" s="110">
        <f>2</f>
        <v>2</v>
      </c>
      <c r="V114" s="110">
        <f>10</f>
        <v>10</v>
      </c>
      <c r="W114" s="110"/>
      <c r="X114" s="109"/>
      <c r="Y114" s="35">
        <f>IF(S114=0,0,WORKDAY.INTL(S114,T114+(U114*V114),7,List!$M$3:$M$100))</f>
        <v>0</v>
      </c>
      <c r="Z114" s="110"/>
      <c r="AA114" s="110">
        <f>2</f>
        <v>2</v>
      </c>
      <c r="AB114" s="110">
        <f>10</f>
        <v>10</v>
      </c>
      <c r="AC114" s="109"/>
      <c r="AD114" s="109"/>
      <c r="AE114" s="109"/>
      <c r="AF114" s="111"/>
      <c r="AG11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5" spans="4:35" x14ac:dyDescent="0.2">
      <c r="D115" s="104"/>
      <c r="E115" s="103"/>
      <c r="F115" s="105"/>
      <c r="G115" s="103"/>
      <c r="H115" s="103"/>
      <c r="I115" s="106">
        <f>IF(الجدول1[[#This Row],[Signing Contract Date]]=0,0,WORKDAY.INTL(الجدول1[[#This Row],[Signing Contract Date]],List!$J$4,7,List!$M$3:$M$100))</f>
        <v>0</v>
      </c>
      <c r="J115" s="107">
        <f>IF(Z115=0,0,WORKDAY.INTL(Y115,Z115+(AA115*AB115),7,List!$M$3:$M$100))</f>
        <v>0</v>
      </c>
      <c r="K115" s="108"/>
      <c r="L115" s="109"/>
      <c r="M115" s="106">
        <f>الجدول1[[#This Row],[Project Start Date | Contract]]</f>
        <v>0</v>
      </c>
      <c r="N115" s="110"/>
      <c r="O115" s="110"/>
      <c r="P115" s="110"/>
      <c r="Q115" s="110"/>
      <c r="R115" s="109"/>
      <c r="S115" s="31">
        <f>IF(M115=0,0, WORKDAY.INTL( WORKDAY.INTL(M115,N115+(O115*P115),7,List!$M$3:$M$100),List!$K$4,7,List!$M$3:$M$100))</f>
        <v>0</v>
      </c>
      <c r="T115" s="110"/>
      <c r="U115" s="110">
        <f>2</f>
        <v>2</v>
      </c>
      <c r="V115" s="110">
        <f>10</f>
        <v>10</v>
      </c>
      <c r="W115" s="110"/>
      <c r="X115" s="109"/>
      <c r="Y115" s="35">
        <f>IF(S115=0,0,WORKDAY.INTL(S115,T115+(U115*V115),7,List!$M$3:$M$100))</f>
        <v>0</v>
      </c>
      <c r="Z115" s="110"/>
      <c r="AA115" s="110">
        <f>2</f>
        <v>2</v>
      </c>
      <c r="AB115" s="110">
        <f>10</f>
        <v>10</v>
      </c>
      <c r="AC115" s="109"/>
      <c r="AD115" s="109"/>
      <c r="AE115" s="109"/>
      <c r="AF115" s="111"/>
      <c r="AG11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6" spans="4:35" x14ac:dyDescent="0.2">
      <c r="D116" s="104"/>
      <c r="E116" s="103"/>
      <c r="F116" s="105"/>
      <c r="G116" s="103"/>
      <c r="H116" s="103"/>
      <c r="I116" s="106">
        <f>IF(الجدول1[[#This Row],[Signing Contract Date]]=0,0,WORKDAY.INTL(الجدول1[[#This Row],[Signing Contract Date]],List!$J$4,7,List!$M$3:$M$100))</f>
        <v>0</v>
      </c>
      <c r="J116" s="107">
        <f>IF(Z116=0,0,WORKDAY.INTL(Y116,Z116+(AA116*AB116),7,List!$M$3:$M$100))</f>
        <v>0</v>
      </c>
      <c r="K116" s="108"/>
      <c r="L116" s="109"/>
      <c r="M116" s="106">
        <f>الجدول1[[#This Row],[Project Start Date | Contract]]</f>
        <v>0</v>
      </c>
      <c r="N116" s="110"/>
      <c r="O116" s="110"/>
      <c r="P116" s="110"/>
      <c r="Q116" s="110"/>
      <c r="R116" s="109"/>
      <c r="S116" s="31">
        <f>IF(M116=0,0, WORKDAY.INTL( WORKDAY.INTL(M116,N116+(O116*P116),7,List!$M$3:$M$100),List!$K$4,7,List!$M$3:$M$100))</f>
        <v>0</v>
      </c>
      <c r="T116" s="110"/>
      <c r="U116" s="110">
        <f>2</f>
        <v>2</v>
      </c>
      <c r="V116" s="110">
        <f>10</f>
        <v>10</v>
      </c>
      <c r="W116" s="110"/>
      <c r="X116" s="109"/>
      <c r="Y116" s="35">
        <f>IF(S116=0,0,WORKDAY.INTL(S116,T116+(U116*V116),7,List!$M$3:$M$100))</f>
        <v>0</v>
      </c>
      <c r="Z116" s="110"/>
      <c r="AA116" s="110">
        <f>2</f>
        <v>2</v>
      </c>
      <c r="AB116" s="110">
        <f>10</f>
        <v>10</v>
      </c>
      <c r="AC116" s="109"/>
      <c r="AD116" s="109"/>
      <c r="AE116" s="109"/>
      <c r="AF116" s="111"/>
      <c r="AG11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7" spans="4:35" x14ac:dyDescent="0.2">
      <c r="D117" s="104"/>
      <c r="E117" s="103"/>
      <c r="F117" s="105"/>
      <c r="G117" s="103"/>
      <c r="H117" s="103"/>
      <c r="I117" s="106">
        <f>IF(الجدول1[[#This Row],[Signing Contract Date]]=0,0,WORKDAY.INTL(الجدول1[[#This Row],[Signing Contract Date]],List!$J$4,7,List!$M$3:$M$100))</f>
        <v>0</v>
      </c>
      <c r="J117" s="107">
        <f>IF(Z117=0,0,WORKDAY.INTL(Y117,Z117+(AA117*AB117),7,List!$M$3:$M$100))</f>
        <v>0</v>
      </c>
      <c r="K117" s="108"/>
      <c r="L117" s="109"/>
      <c r="M117" s="106">
        <f>الجدول1[[#This Row],[Project Start Date | Contract]]</f>
        <v>0</v>
      </c>
      <c r="N117" s="110"/>
      <c r="O117" s="110"/>
      <c r="P117" s="110"/>
      <c r="Q117" s="110"/>
      <c r="R117" s="109"/>
      <c r="S117" s="31">
        <f>IF(M117=0,0, WORKDAY.INTL( WORKDAY.INTL(M117,N117+(O117*P117),7,List!$M$3:$M$100),List!$K$4,7,List!$M$3:$M$100))</f>
        <v>0</v>
      </c>
      <c r="T117" s="110"/>
      <c r="U117" s="110">
        <f>2</f>
        <v>2</v>
      </c>
      <c r="V117" s="110">
        <f>10</f>
        <v>10</v>
      </c>
      <c r="W117" s="110"/>
      <c r="X117" s="109"/>
      <c r="Y117" s="35">
        <f>IF(S117=0,0,WORKDAY.INTL(S117,T117+(U117*V117),7,List!$M$3:$M$100))</f>
        <v>0</v>
      </c>
      <c r="Z117" s="110"/>
      <c r="AA117" s="110">
        <f>2</f>
        <v>2</v>
      </c>
      <c r="AB117" s="110">
        <f>10</f>
        <v>10</v>
      </c>
      <c r="AC117" s="109"/>
      <c r="AD117" s="109"/>
      <c r="AE117" s="109"/>
      <c r="AF117" s="111"/>
      <c r="AG11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8" spans="4:35" x14ac:dyDescent="0.2">
      <c r="D118" s="104"/>
      <c r="E118" s="103"/>
      <c r="F118" s="105"/>
      <c r="G118" s="103"/>
      <c r="H118" s="103"/>
      <c r="I118" s="106">
        <f>IF(الجدول1[[#This Row],[Signing Contract Date]]=0,0,WORKDAY.INTL(الجدول1[[#This Row],[Signing Contract Date]],List!$J$4,7,List!$M$3:$M$100))</f>
        <v>0</v>
      </c>
      <c r="J118" s="107">
        <f>IF(Z118=0,0,WORKDAY.INTL(Y118,Z118+(AA118*AB118),7,List!$M$3:$M$100))</f>
        <v>0</v>
      </c>
      <c r="K118" s="108"/>
      <c r="L118" s="109"/>
      <c r="M118" s="106">
        <f>الجدول1[[#This Row],[Project Start Date | Contract]]</f>
        <v>0</v>
      </c>
      <c r="N118" s="110"/>
      <c r="O118" s="110"/>
      <c r="P118" s="110"/>
      <c r="Q118" s="110"/>
      <c r="R118" s="109"/>
      <c r="S118" s="31">
        <f>IF(M118=0,0, WORKDAY.INTL( WORKDAY.INTL(M118,N118+(O118*P118),7,List!$M$3:$M$100),List!$K$4,7,List!$M$3:$M$100))</f>
        <v>0</v>
      </c>
      <c r="T118" s="110"/>
      <c r="U118" s="110">
        <f>2</f>
        <v>2</v>
      </c>
      <c r="V118" s="110">
        <f>10</f>
        <v>10</v>
      </c>
      <c r="W118" s="110"/>
      <c r="X118" s="109"/>
      <c r="Y118" s="35">
        <f>IF(S118=0,0,WORKDAY.INTL(S118,T118+(U118*V118),7,List!$M$3:$M$100))</f>
        <v>0</v>
      </c>
      <c r="Z118" s="110"/>
      <c r="AA118" s="110">
        <f>2</f>
        <v>2</v>
      </c>
      <c r="AB118" s="110">
        <f>10</f>
        <v>10</v>
      </c>
      <c r="AC118" s="109"/>
      <c r="AD118" s="109"/>
      <c r="AE118" s="109"/>
      <c r="AF118" s="111"/>
      <c r="AG11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19" spans="4:35" x14ac:dyDescent="0.2">
      <c r="D119" s="104"/>
      <c r="E119" s="103"/>
      <c r="F119" s="105"/>
      <c r="G119" s="103"/>
      <c r="H119" s="103"/>
      <c r="I119" s="106">
        <f>IF(الجدول1[[#This Row],[Signing Contract Date]]=0,0,WORKDAY.INTL(الجدول1[[#This Row],[Signing Contract Date]],List!$J$4,7,List!$M$3:$M$100))</f>
        <v>0</v>
      </c>
      <c r="J119" s="107">
        <f>IF(Z119=0,0,WORKDAY.INTL(Y119,Z119+(AA119*AB119),7,List!$M$3:$M$100))</f>
        <v>0</v>
      </c>
      <c r="K119" s="108"/>
      <c r="L119" s="109"/>
      <c r="M119" s="106">
        <f>الجدول1[[#This Row],[Project Start Date | Contract]]</f>
        <v>0</v>
      </c>
      <c r="N119" s="110"/>
      <c r="O119" s="110"/>
      <c r="P119" s="110"/>
      <c r="Q119" s="110"/>
      <c r="R119" s="109"/>
      <c r="S119" s="31">
        <f>IF(M119=0,0, WORKDAY.INTL( WORKDAY.INTL(M119,N119+(O119*P119),7,List!$M$3:$M$100),List!$K$4,7,List!$M$3:$M$100))</f>
        <v>0</v>
      </c>
      <c r="T119" s="110"/>
      <c r="U119" s="110">
        <f>2</f>
        <v>2</v>
      </c>
      <c r="V119" s="110">
        <f>10</f>
        <v>10</v>
      </c>
      <c r="W119" s="110"/>
      <c r="X119" s="109"/>
      <c r="Y119" s="35">
        <f>IF(S119=0,0,WORKDAY.INTL(S119,T119+(U119*V119),7,List!$M$3:$M$100))</f>
        <v>0</v>
      </c>
      <c r="Z119" s="110"/>
      <c r="AA119" s="110">
        <f>2</f>
        <v>2</v>
      </c>
      <c r="AB119" s="110">
        <f>10</f>
        <v>10</v>
      </c>
      <c r="AC119" s="109"/>
      <c r="AD119" s="109"/>
      <c r="AE119" s="109"/>
      <c r="AF119" s="111"/>
      <c r="AG11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1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1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0" spans="4:35" x14ac:dyDescent="0.2">
      <c r="D120" s="104"/>
      <c r="E120" s="103"/>
      <c r="F120" s="105"/>
      <c r="G120" s="103"/>
      <c r="H120" s="103"/>
      <c r="I120" s="106">
        <f>IF(الجدول1[[#This Row],[Signing Contract Date]]=0,0,WORKDAY.INTL(الجدول1[[#This Row],[Signing Contract Date]],List!$J$4,7,List!$M$3:$M$100))</f>
        <v>0</v>
      </c>
      <c r="J120" s="107">
        <f>IF(Z120=0,0,WORKDAY.INTL(Y120,Z120+(AA120*AB120),7,List!$M$3:$M$100))</f>
        <v>0</v>
      </c>
      <c r="K120" s="108"/>
      <c r="L120" s="109"/>
      <c r="M120" s="106">
        <f>الجدول1[[#This Row],[Project Start Date | Contract]]</f>
        <v>0</v>
      </c>
      <c r="N120" s="110"/>
      <c r="O120" s="110"/>
      <c r="P120" s="110"/>
      <c r="Q120" s="110"/>
      <c r="R120" s="109"/>
      <c r="S120" s="31">
        <f>IF(M120=0,0, WORKDAY.INTL( WORKDAY.INTL(M120,N120+(O120*P120),7,List!$M$3:$M$100),List!$K$4,7,List!$M$3:$M$100))</f>
        <v>0</v>
      </c>
      <c r="T120" s="110"/>
      <c r="U120" s="110">
        <f>2</f>
        <v>2</v>
      </c>
      <c r="V120" s="110">
        <f>10</f>
        <v>10</v>
      </c>
      <c r="W120" s="110"/>
      <c r="X120" s="109"/>
      <c r="Y120" s="35">
        <f>IF(S120=0,0,WORKDAY.INTL(S120,T120+(U120*V120),7,List!$M$3:$M$100))</f>
        <v>0</v>
      </c>
      <c r="Z120" s="110"/>
      <c r="AA120" s="110">
        <f>2</f>
        <v>2</v>
      </c>
      <c r="AB120" s="110">
        <f>10</f>
        <v>10</v>
      </c>
      <c r="AC120" s="109"/>
      <c r="AD120" s="109"/>
      <c r="AE120" s="109"/>
      <c r="AF120" s="111"/>
      <c r="AG12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1" spans="4:35" x14ac:dyDescent="0.2">
      <c r="D121" s="104"/>
      <c r="E121" s="103"/>
      <c r="F121" s="105"/>
      <c r="G121" s="103"/>
      <c r="H121" s="103"/>
      <c r="I121" s="106">
        <f>IF(الجدول1[[#This Row],[Signing Contract Date]]=0,0,WORKDAY.INTL(الجدول1[[#This Row],[Signing Contract Date]],List!$J$4,7,List!$M$3:$M$100))</f>
        <v>0</v>
      </c>
      <c r="J121" s="107">
        <f>IF(Z121=0,0,WORKDAY.INTL(Y121,Z121+(AA121*AB121),7,List!$M$3:$M$100))</f>
        <v>0</v>
      </c>
      <c r="K121" s="108"/>
      <c r="L121" s="109"/>
      <c r="M121" s="106">
        <f>الجدول1[[#This Row],[Project Start Date | Contract]]</f>
        <v>0</v>
      </c>
      <c r="N121" s="110"/>
      <c r="O121" s="110"/>
      <c r="P121" s="110"/>
      <c r="Q121" s="110"/>
      <c r="R121" s="109"/>
      <c r="S121" s="31">
        <f>IF(M121=0,0, WORKDAY.INTL( WORKDAY.INTL(M121,N121+(O121*P121),7,List!$M$3:$M$100),List!$K$4,7,List!$M$3:$M$100))</f>
        <v>0</v>
      </c>
      <c r="T121" s="110"/>
      <c r="U121" s="110">
        <f>2</f>
        <v>2</v>
      </c>
      <c r="V121" s="110">
        <f>10</f>
        <v>10</v>
      </c>
      <c r="W121" s="110"/>
      <c r="X121" s="109"/>
      <c r="Y121" s="35">
        <f>IF(S121=0,0,WORKDAY.INTL(S121,T121+(U121*V121),7,List!$M$3:$M$100))</f>
        <v>0</v>
      </c>
      <c r="Z121" s="110"/>
      <c r="AA121" s="110">
        <f>2</f>
        <v>2</v>
      </c>
      <c r="AB121" s="110">
        <f>10</f>
        <v>10</v>
      </c>
      <c r="AC121" s="109"/>
      <c r="AD121" s="109"/>
      <c r="AE121" s="109"/>
      <c r="AF121" s="111"/>
      <c r="AG12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2" spans="4:35" x14ac:dyDescent="0.2">
      <c r="D122" s="104"/>
      <c r="E122" s="103"/>
      <c r="F122" s="105"/>
      <c r="G122" s="103"/>
      <c r="H122" s="103"/>
      <c r="I122" s="106">
        <f>IF(الجدول1[[#This Row],[Signing Contract Date]]=0,0,WORKDAY.INTL(الجدول1[[#This Row],[Signing Contract Date]],List!$J$4,7,List!$M$3:$M$100))</f>
        <v>0</v>
      </c>
      <c r="J122" s="107">
        <f>IF(Z122=0,0,WORKDAY.INTL(Y122,Z122+(AA122*AB122),7,List!$M$3:$M$100))</f>
        <v>0</v>
      </c>
      <c r="K122" s="108"/>
      <c r="L122" s="109"/>
      <c r="M122" s="106">
        <f>الجدول1[[#This Row],[Project Start Date | Contract]]</f>
        <v>0</v>
      </c>
      <c r="N122" s="110"/>
      <c r="O122" s="110"/>
      <c r="P122" s="110"/>
      <c r="Q122" s="110"/>
      <c r="R122" s="109"/>
      <c r="S122" s="31">
        <f>IF(M122=0,0, WORKDAY.INTL( WORKDAY.INTL(M122,N122+(O122*P122),7,List!$M$3:$M$100),List!$K$4,7,List!$M$3:$M$100))</f>
        <v>0</v>
      </c>
      <c r="T122" s="110"/>
      <c r="U122" s="110">
        <f>2</f>
        <v>2</v>
      </c>
      <c r="V122" s="110">
        <f>10</f>
        <v>10</v>
      </c>
      <c r="W122" s="110"/>
      <c r="X122" s="109"/>
      <c r="Y122" s="35">
        <f>IF(S122=0,0,WORKDAY.INTL(S122,T122+(U122*V122),7,List!$M$3:$M$100))</f>
        <v>0</v>
      </c>
      <c r="Z122" s="110"/>
      <c r="AA122" s="110">
        <f>2</f>
        <v>2</v>
      </c>
      <c r="AB122" s="110">
        <f>10</f>
        <v>10</v>
      </c>
      <c r="AC122" s="109"/>
      <c r="AD122" s="109"/>
      <c r="AE122" s="109"/>
      <c r="AF122" s="111"/>
      <c r="AG12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3" spans="4:35" x14ac:dyDescent="0.2">
      <c r="D123" s="104"/>
      <c r="E123" s="103"/>
      <c r="F123" s="105"/>
      <c r="G123" s="103"/>
      <c r="H123" s="103"/>
      <c r="I123" s="106">
        <f>IF(الجدول1[[#This Row],[Signing Contract Date]]=0,0,WORKDAY.INTL(الجدول1[[#This Row],[Signing Contract Date]],List!$J$4,7,List!$M$3:$M$100))</f>
        <v>0</v>
      </c>
      <c r="J123" s="107">
        <f>IF(Z123=0,0,WORKDAY.INTL(Y123,Z123+(AA123*AB123),7,List!$M$3:$M$100))</f>
        <v>0</v>
      </c>
      <c r="K123" s="108"/>
      <c r="L123" s="109"/>
      <c r="M123" s="106">
        <f>الجدول1[[#This Row],[Project Start Date | Contract]]</f>
        <v>0</v>
      </c>
      <c r="N123" s="110"/>
      <c r="O123" s="110"/>
      <c r="P123" s="110"/>
      <c r="Q123" s="110"/>
      <c r="R123" s="109"/>
      <c r="S123" s="31">
        <f>IF(M123=0,0, WORKDAY.INTL( WORKDAY.INTL(M123,N123+(O123*P123),7,List!$M$3:$M$100),List!$K$4,7,List!$M$3:$M$100))</f>
        <v>0</v>
      </c>
      <c r="T123" s="110"/>
      <c r="U123" s="110">
        <f>2</f>
        <v>2</v>
      </c>
      <c r="V123" s="110">
        <f>10</f>
        <v>10</v>
      </c>
      <c r="W123" s="110"/>
      <c r="X123" s="109"/>
      <c r="Y123" s="35">
        <f>IF(S123=0,0,WORKDAY.INTL(S123,T123+(U123*V123),7,List!$M$3:$M$100))</f>
        <v>0</v>
      </c>
      <c r="Z123" s="110"/>
      <c r="AA123" s="110">
        <f>2</f>
        <v>2</v>
      </c>
      <c r="AB123" s="110">
        <f>10</f>
        <v>10</v>
      </c>
      <c r="AC123" s="109"/>
      <c r="AD123" s="109"/>
      <c r="AE123" s="109"/>
      <c r="AF123" s="111"/>
      <c r="AG12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4" spans="4:35" x14ac:dyDescent="0.2">
      <c r="D124" s="104"/>
      <c r="E124" s="103"/>
      <c r="F124" s="105"/>
      <c r="G124" s="103"/>
      <c r="H124" s="103"/>
      <c r="I124" s="106">
        <f>IF(الجدول1[[#This Row],[Signing Contract Date]]=0,0,WORKDAY.INTL(الجدول1[[#This Row],[Signing Contract Date]],List!$J$4,7,List!$M$3:$M$100))</f>
        <v>0</v>
      </c>
      <c r="J124" s="107">
        <f>IF(Z124=0,0,WORKDAY.INTL(Y124,Z124+(AA124*AB124),7,List!$M$3:$M$100))</f>
        <v>0</v>
      </c>
      <c r="K124" s="108"/>
      <c r="L124" s="109"/>
      <c r="M124" s="106">
        <f>الجدول1[[#This Row],[Project Start Date | Contract]]</f>
        <v>0</v>
      </c>
      <c r="N124" s="110"/>
      <c r="O124" s="110"/>
      <c r="P124" s="110"/>
      <c r="Q124" s="110"/>
      <c r="R124" s="109"/>
      <c r="S124" s="31">
        <f>IF(M124=0,0, WORKDAY.INTL( WORKDAY.INTL(M124,N124+(O124*P124),7,List!$M$3:$M$100),List!$K$4,7,List!$M$3:$M$100))</f>
        <v>0</v>
      </c>
      <c r="T124" s="110"/>
      <c r="U124" s="110">
        <f>2</f>
        <v>2</v>
      </c>
      <c r="V124" s="110">
        <f>10</f>
        <v>10</v>
      </c>
      <c r="W124" s="110"/>
      <c r="X124" s="109"/>
      <c r="Y124" s="35">
        <f>IF(S124=0,0,WORKDAY.INTL(S124,T124+(U124*V124),7,List!$M$3:$M$100))</f>
        <v>0</v>
      </c>
      <c r="Z124" s="110"/>
      <c r="AA124" s="110">
        <f>2</f>
        <v>2</v>
      </c>
      <c r="AB124" s="110">
        <f>10</f>
        <v>10</v>
      </c>
      <c r="AC124" s="109"/>
      <c r="AD124" s="109"/>
      <c r="AE124" s="109"/>
      <c r="AF124" s="111"/>
      <c r="AG12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5" spans="4:35" x14ac:dyDescent="0.2">
      <c r="D125" s="104"/>
      <c r="E125" s="103"/>
      <c r="F125" s="105"/>
      <c r="G125" s="103"/>
      <c r="H125" s="103"/>
      <c r="I125" s="106">
        <f>IF(الجدول1[[#This Row],[Signing Contract Date]]=0,0,WORKDAY.INTL(الجدول1[[#This Row],[Signing Contract Date]],List!$J$4,7,List!$M$3:$M$100))</f>
        <v>0</v>
      </c>
      <c r="J125" s="107">
        <f>IF(Z125=0,0,WORKDAY.INTL(Y125,Z125+(AA125*AB125),7,List!$M$3:$M$100))</f>
        <v>0</v>
      </c>
      <c r="K125" s="108"/>
      <c r="L125" s="109"/>
      <c r="M125" s="106">
        <f>الجدول1[[#This Row],[Project Start Date | Contract]]</f>
        <v>0</v>
      </c>
      <c r="N125" s="110"/>
      <c r="O125" s="110"/>
      <c r="P125" s="110"/>
      <c r="Q125" s="110"/>
      <c r="R125" s="109"/>
      <c r="S125" s="31">
        <f>IF(M125=0,0, WORKDAY.INTL( WORKDAY.INTL(M125,N125+(O125*P125),7,List!$M$3:$M$100),List!$K$4,7,List!$M$3:$M$100))</f>
        <v>0</v>
      </c>
      <c r="T125" s="110"/>
      <c r="U125" s="110">
        <f>2</f>
        <v>2</v>
      </c>
      <c r="V125" s="110">
        <f>10</f>
        <v>10</v>
      </c>
      <c r="W125" s="110"/>
      <c r="X125" s="109"/>
      <c r="Y125" s="35">
        <f>IF(S125=0,0,WORKDAY.INTL(S125,T125+(U125*V125),7,List!$M$3:$M$100))</f>
        <v>0</v>
      </c>
      <c r="Z125" s="110"/>
      <c r="AA125" s="110">
        <f>2</f>
        <v>2</v>
      </c>
      <c r="AB125" s="110">
        <f>10</f>
        <v>10</v>
      </c>
      <c r="AC125" s="109"/>
      <c r="AD125" s="109"/>
      <c r="AE125" s="109"/>
      <c r="AF125" s="111"/>
      <c r="AG12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6" spans="4:35" x14ac:dyDescent="0.2">
      <c r="D126" s="104"/>
      <c r="E126" s="103"/>
      <c r="F126" s="105"/>
      <c r="G126" s="103"/>
      <c r="H126" s="103"/>
      <c r="I126" s="106">
        <f>IF(الجدول1[[#This Row],[Signing Contract Date]]=0,0,WORKDAY.INTL(الجدول1[[#This Row],[Signing Contract Date]],List!$J$4,7,List!$M$3:$M$100))</f>
        <v>0</v>
      </c>
      <c r="J126" s="107">
        <f>IF(Z126=0,0,WORKDAY.INTL(Y126,Z126+(AA126*AB126),7,List!$M$3:$M$100))</f>
        <v>0</v>
      </c>
      <c r="K126" s="108"/>
      <c r="L126" s="109"/>
      <c r="M126" s="106">
        <f>الجدول1[[#This Row],[Project Start Date | Contract]]</f>
        <v>0</v>
      </c>
      <c r="N126" s="110"/>
      <c r="O126" s="110"/>
      <c r="P126" s="110"/>
      <c r="Q126" s="110"/>
      <c r="R126" s="109"/>
      <c r="S126" s="31">
        <f>IF(M126=0,0, WORKDAY.INTL( WORKDAY.INTL(M126,N126+(O126*P126),7,List!$M$3:$M$100),List!$K$4,7,List!$M$3:$M$100))</f>
        <v>0</v>
      </c>
      <c r="T126" s="110"/>
      <c r="U126" s="110">
        <f>2</f>
        <v>2</v>
      </c>
      <c r="V126" s="110">
        <f>10</f>
        <v>10</v>
      </c>
      <c r="W126" s="110"/>
      <c r="X126" s="109"/>
      <c r="Y126" s="35">
        <f>IF(S126=0,0,WORKDAY.INTL(S126,T126+(U126*V126),7,List!$M$3:$M$100))</f>
        <v>0</v>
      </c>
      <c r="Z126" s="110"/>
      <c r="AA126" s="110">
        <f>2</f>
        <v>2</v>
      </c>
      <c r="AB126" s="110">
        <f>10</f>
        <v>10</v>
      </c>
      <c r="AC126" s="109"/>
      <c r="AD126" s="109"/>
      <c r="AE126" s="109"/>
      <c r="AF126" s="111"/>
      <c r="AG12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7" spans="4:35" x14ac:dyDescent="0.2">
      <c r="D127" s="104"/>
      <c r="E127" s="103"/>
      <c r="F127" s="105"/>
      <c r="G127" s="103"/>
      <c r="H127" s="103"/>
      <c r="I127" s="106">
        <f>IF(الجدول1[[#This Row],[Signing Contract Date]]=0,0,WORKDAY.INTL(الجدول1[[#This Row],[Signing Contract Date]],List!$J$4,7,List!$M$3:$M$100))</f>
        <v>0</v>
      </c>
      <c r="J127" s="107">
        <f>IF(Z127=0,0,WORKDAY.INTL(Y127,Z127+(AA127*AB127),7,List!$M$3:$M$100))</f>
        <v>0</v>
      </c>
      <c r="K127" s="108"/>
      <c r="L127" s="109"/>
      <c r="M127" s="106">
        <f>الجدول1[[#This Row],[Project Start Date | Contract]]</f>
        <v>0</v>
      </c>
      <c r="N127" s="110"/>
      <c r="O127" s="110"/>
      <c r="P127" s="110"/>
      <c r="Q127" s="110"/>
      <c r="R127" s="109"/>
      <c r="S127" s="31">
        <f>IF(M127=0,0, WORKDAY.INTL( WORKDAY.INTL(M127,N127+(O127*P127),7,List!$M$3:$M$100),List!$K$4,7,List!$M$3:$M$100))</f>
        <v>0</v>
      </c>
      <c r="T127" s="110"/>
      <c r="U127" s="110">
        <f>2</f>
        <v>2</v>
      </c>
      <c r="V127" s="110">
        <f>10</f>
        <v>10</v>
      </c>
      <c r="W127" s="110"/>
      <c r="X127" s="109"/>
      <c r="Y127" s="35">
        <f>IF(S127=0,0,WORKDAY.INTL(S127,T127+(U127*V127),7,List!$M$3:$M$100))</f>
        <v>0</v>
      </c>
      <c r="Z127" s="110"/>
      <c r="AA127" s="110">
        <f>2</f>
        <v>2</v>
      </c>
      <c r="AB127" s="110">
        <f>10</f>
        <v>10</v>
      </c>
      <c r="AC127" s="109"/>
      <c r="AD127" s="109"/>
      <c r="AE127" s="109"/>
      <c r="AF127" s="111"/>
      <c r="AG12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8" spans="4:35" x14ac:dyDescent="0.2">
      <c r="D128" s="104"/>
      <c r="E128" s="103"/>
      <c r="F128" s="105"/>
      <c r="G128" s="103"/>
      <c r="H128" s="103"/>
      <c r="I128" s="106">
        <f>IF(الجدول1[[#This Row],[Signing Contract Date]]=0,0,WORKDAY.INTL(الجدول1[[#This Row],[Signing Contract Date]],List!$J$4,7,List!$M$3:$M$100))</f>
        <v>0</v>
      </c>
      <c r="J128" s="107">
        <f>IF(Z128=0,0,WORKDAY.INTL(Y128,Z128+(AA128*AB128),7,List!$M$3:$M$100))</f>
        <v>0</v>
      </c>
      <c r="K128" s="108"/>
      <c r="L128" s="109"/>
      <c r="M128" s="106">
        <f>الجدول1[[#This Row],[Project Start Date | Contract]]</f>
        <v>0</v>
      </c>
      <c r="N128" s="110"/>
      <c r="O128" s="110"/>
      <c r="P128" s="110"/>
      <c r="Q128" s="110"/>
      <c r="R128" s="109"/>
      <c r="S128" s="31">
        <f>IF(M128=0,0, WORKDAY.INTL( WORKDAY.INTL(M128,N128+(O128*P128),7,List!$M$3:$M$100),List!$K$4,7,List!$M$3:$M$100))</f>
        <v>0</v>
      </c>
      <c r="T128" s="110"/>
      <c r="U128" s="110">
        <f>2</f>
        <v>2</v>
      </c>
      <c r="V128" s="110">
        <f>10</f>
        <v>10</v>
      </c>
      <c r="W128" s="110"/>
      <c r="X128" s="109"/>
      <c r="Y128" s="35">
        <f>IF(S128=0,0,WORKDAY.INTL(S128,T128+(U128*V128),7,List!$M$3:$M$100))</f>
        <v>0</v>
      </c>
      <c r="Z128" s="110"/>
      <c r="AA128" s="110">
        <f>2</f>
        <v>2</v>
      </c>
      <c r="AB128" s="110">
        <f>10</f>
        <v>10</v>
      </c>
      <c r="AC128" s="109"/>
      <c r="AD128" s="109"/>
      <c r="AE128" s="109"/>
      <c r="AF128" s="111"/>
      <c r="AG12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29" spans="4:35" x14ac:dyDescent="0.2">
      <c r="D129" s="104"/>
      <c r="E129" s="103"/>
      <c r="F129" s="105"/>
      <c r="G129" s="103"/>
      <c r="H129" s="103"/>
      <c r="I129" s="106">
        <f>IF(الجدول1[[#This Row],[Signing Contract Date]]=0,0,WORKDAY.INTL(الجدول1[[#This Row],[Signing Contract Date]],List!$J$4,7,List!$M$3:$M$100))</f>
        <v>0</v>
      </c>
      <c r="J129" s="107">
        <f>IF(Z129=0,0,WORKDAY.INTL(Y129,Z129+(AA129*AB129),7,List!$M$3:$M$100))</f>
        <v>0</v>
      </c>
      <c r="K129" s="108"/>
      <c r="L129" s="109"/>
      <c r="M129" s="106">
        <f>الجدول1[[#This Row],[Project Start Date | Contract]]</f>
        <v>0</v>
      </c>
      <c r="N129" s="110"/>
      <c r="O129" s="110"/>
      <c r="P129" s="110"/>
      <c r="Q129" s="110"/>
      <c r="R129" s="109"/>
      <c r="S129" s="31">
        <f>IF(M129=0,0, WORKDAY.INTL( WORKDAY.INTL(M129,N129+(O129*P129),7,List!$M$3:$M$100),List!$K$4,7,List!$M$3:$M$100))</f>
        <v>0</v>
      </c>
      <c r="T129" s="110"/>
      <c r="U129" s="110">
        <f>2</f>
        <v>2</v>
      </c>
      <c r="V129" s="110">
        <f>10</f>
        <v>10</v>
      </c>
      <c r="W129" s="110"/>
      <c r="X129" s="109"/>
      <c r="Y129" s="35">
        <f>IF(S129=0,0,WORKDAY.INTL(S129,T129+(U129*V129),7,List!$M$3:$M$100))</f>
        <v>0</v>
      </c>
      <c r="Z129" s="110"/>
      <c r="AA129" s="110">
        <f>2</f>
        <v>2</v>
      </c>
      <c r="AB129" s="110">
        <f>10</f>
        <v>10</v>
      </c>
      <c r="AC129" s="109"/>
      <c r="AD129" s="109"/>
      <c r="AE129" s="109"/>
      <c r="AF129" s="111"/>
      <c r="AG12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2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2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0" spans="4:35" x14ac:dyDescent="0.2">
      <c r="D130" s="104"/>
      <c r="E130" s="103"/>
      <c r="F130" s="105"/>
      <c r="G130" s="103"/>
      <c r="H130" s="103"/>
      <c r="I130" s="106">
        <f>IF(الجدول1[[#This Row],[Signing Contract Date]]=0,0,WORKDAY.INTL(الجدول1[[#This Row],[Signing Contract Date]],List!$J$4,7,List!$M$3:$M$100))</f>
        <v>0</v>
      </c>
      <c r="J130" s="107">
        <f>IF(Z130=0,0,WORKDAY.INTL(Y130,Z130+(AA130*AB130),7,List!$M$3:$M$100))</f>
        <v>0</v>
      </c>
      <c r="K130" s="108"/>
      <c r="L130" s="109"/>
      <c r="M130" s="106">
        <f>الجدول1[[#This Row],[Project Start Date | Contract]]</f>
        <v>0</v>
      </c>
      <c r="N130" s="110"/>
      <c r="O130" s="110"/>
      <c r="P130" s="110"/>
      <c r="Q130" s="110"/>
      <c r="R130" s="109"/>
      <c r="S130" s="31">
        <f>IF(M130=0,0, WORKDAY.INTL( WORKDAY.INTL(M130,N130+(O130*P130),7,List!$M$3:$M$100),List!$K$4,7,List!$M$3:$M$100))</f>
        <v>0</v>
      </c>
      <c r="T130" s="110"/>
      <c r="U130" s="110">
        <f>2</f>
        <v>2</v>
      </c>
      <c r="V130" s="110">
        <f>10</f>
        <v>10</v>
      </c>
      <c r="W130" s="110"/>
      <c r="X130" s="109"/>
      <c r="Y130" s="35">
        <f>IF(S130=0,0,WORKDAY.INTL(S130,T130+(U130*V130),7,List!$M$3:$M$100))</f>
        <v>0</v>
      </c>
      <c r="Z130" s="110"/>
      <c r="AA130" s="110">
        <f>2</f>
        <v>2</v>
      </c>
      <c r="AB130" s="110">
        <f>10</f>
        <v>10</v>
      </c>
      <c r="AC130" s="109"/>
      <c r="AD130" s="109"/>
      <c r="AE130" s="109"/>
      <c r="AF130" s="111"/>
      <c r="AG13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1" spans="4:35" x14ac:dyDescent="0.2">
      <c r="D131" s="104"/>
      <c r="E131" s="103"/>
      <c r="F131" s="105"/>
      <c r="G131" s="103"/>
      <c r="H131" s="103"/>
      <c r="I131" s="106">
        <f>IF(الجدول1[[#This Row],[Signing Contract Date]]=0,0,WORKDAY.INTL(الجدول1[[#This Row],[Signing Contract Date]],List!$J$4,7,List!$M$3:$M$100))</f>
        <v>0</v>
      </c>
      <c r="J131" s="107">
        <f>IF(Z131=0,0,WORKDAY.INTL(Y131,Z131+(AA131*AB131),7,List!$M$3:$M$100))</f>
        <v>0</v>
      </c>
      <c r="K131" s="108"/>
      <c r="L131" s="109"/>
      <c r="M131" s="106">
        <f>الجدول1[[#This Row],[Project Start Date | Contract]]</f>
        <v>0</v>
      </c>
      <c r="N131" s="110"/>
      <c r="O131" s="110"/>
      <c r="P131" s="110"/>
      <c r="Q131" s="110"/>
      <c r="R131" s="109"/>
      <c r="S131" s="31">
        <f>IF(M131=0,0, WORKDAY.INTL( WORKDAY.INTL(M131,N131+(O131*P131),7,List!$M$3:$M$100),List!$K$4,7,List!$M$3:$M$100))</f>
        <v>0</v>
      </c>
      <c r="T131" s="110"/>
      <c r="U131" s="110">
        <f>2</f>
        <v>2</v>
      </c>
      <c r="V131" s="110">
        <f>10</f>
        <v>10</v>
      </c>
      <c r="W131" s="110"/>
      <c r="X131" s="109"/>
      <c r="Y131" s="35">
        <f>IF(S131=0,0,WORKDAY.INTL(S131,T131+(U131*V131),7,List!$M$3:$M$100))</f>
        <v>0</v>
      </c>
      <c r="Z131" s="110"/>
      <c r="AA131" s="110">
        <f>2</f>
        <v>2</v>
      </c>
      <c r="AB131" s="110">
        <f>10</f>
        <v>10</v>
      </c>
      <c r="AC131" s="109"/>
      <c r="AD131" s="109"/>
      <c r="AE131" s="109"/>
      <c r="AF131" s="111"/>
      <c r="AG13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2" spans="4:35" x14ac:dyDescent="0.2">
      <c r="D132" s="104"/>
      <c r="E132" s="103"/>
      <c r="F132" s="105"/>
      <c r="G132" s="103"/>
      <c r="H132" s="103"/>
      <c r="I132" s="106">
        <f>IF(الجدول1[[#This Row],[Signing Contract Date]]=0,0,WORKDAY.INTL(الجدول1[[#This Row],[Signing Contract Date]],List!$J$4,7,List!$M$3:$M$100))</f>
        <v>0</v>
      </c>
      <c r="J132" s="107">
        <f>IF(Z132=0,0,WORKDAY.INTL(Y132,Z132+(AA132*AB132),7,List!$M$3:$M$100))</f>
        <v>0</v>
      </c>
      <c r="K132" s="108"/>
      <c r="L132" s="109"/>
      <c r="M132" s="106">
        <f>الجدول1[[#This Row],[Project Start Date | Contract]]</f>
        <v>0</v>
      </c>
      <c r="N132" s="110"/>
      <c r="O132" s="110"/>
      <c r="P132" s="110"/>
      <c r="Q132" s="110"/>
      <c r="R132" s="109"/>
      <c r="S132" s="31">
        <f>IF(M132=0,0, WORKDAY.INTL( WORKDAY.INTL(M132,N132+(O132*P132),7,List!$M$3:$M$100),List!$K$4,7,List!$M$3:$M$100))</f>
        <v>0</v>
      </c>
      <c r="T132" s="110"/>
      <c r="U132" s="110">
        <f>2</f>
        <v>2</v>
      </c>
      <c r="V132" s="110">
        <f>10</f>
        <v>10</v>
      </c>
      <c r="W132" s="110"/>
      <c r="X132" s="109"/>
      <c r="Y132" s="35">
        <f>IF(S132=0,0,WORKDAY.INTL(S132,T132+(U132*V132),7,List!$M$3:$M$100))</f>
        <v>0</v>
      </c>
      <c r="Z132" s="110"/>
      <c r="AA132" s="110">
        <f>2</f>
        <v>2</v>
      </c>
      <c r="AB132" s="110">
        <f>10</f>
        <v>10</v>
      </c>
      <c r="AC132" s="109"/>
      <c r="AD132" s="109"/>
      <c r="AE132" s="109"/>
      <c r="AF132" s="111"/>
      <c r="AG13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3" spans="4:35" x14ac:dyDescent="0.2">
      <c r="D133" s="104"/>
      <c r="E133" s="103"/>
      <c r="F133" s="105"/>
      <c r="G133" s="103"/>
      <c r="H133" s="103"/>
      <c r="I133" s="106">
        <f>IF(الجدول1[[#This Row],[Signing Contract Date]]=0,0,WORKDAY.INTL(الجدول1[[#This Row],[Signing Contract Date]],List!$J$4,7,List!$M$3:$M$100))</f>
        <v>0</v>
      </c>
      <c r="J133" s="107">
        <f>IF(Z133=0,0,WORKDAY.INTL(Y133,Z133+(AA133*AB133),7,List!$M$3:$M$100))</f>
        <v>0</v>
      </c>
      <c r="K133" s="108"/>
      <c r="L133" s="109"/>
      <c r="M133" s="106">
        <f>الجدول1[[#This Row],[Project Start Date | Contract]]</f>
        <v>0</v>
      </c>
      <c r="N133" s="110"/>
      <c r="O133" s="110"/>
      <c r="P133" s="110"/>
      <c r="Q133" s="110"/>
      <c r="R133" s="109"/>
      <c r="S133" s="31">
        <f>IF(M133=0,0, WORKDAY.INTL( WORKDAY.INTL(M133,N133+(O133*P133),7,List!$M$3:$M$100),List!$K$4,7,List!$M$3:$M$100))</f>
        <v>0</v>
      </c>
      <c r="T133" s="110"/>
      <c r="U133" s="110">
        <f>2</f>
        <v>2</v>
      </c>
      <c r="V133" s="110">
        <f>10</f>
        <v>10</v>
      </c>
      <c r="W133" s="110"/>
      <c r="X133" s="109"/>
      <c r="Y133" s="35">
        <f>IF(S133=0,0,WORKDAY.INTL(S133,T133+(U133*V133),7,List!$M$3:$M$100))</f>
        <v>0</v>
      </c>
      <c r="Z133" s="110"/>
      <c r="AA133" s="110">
        <f>2</f>
        <v>2</v>
      </c>
      <c r="AB133" s="110">
        <f>10</f>
        <v>10</v>
      </c>
      <c r="AC133" s="109"/>
      <c r="AD133" s="109"/>
      <c r="AE133" s="109"/>
      <c r="AF133" s="111"/>
      <c r="AG13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4" spans="4:35" x14ac:dyDescent="0.2">
      <c r="D134" s="104"/>
      <c r="E134" s="103"/>
      <c r="F134" s="105"/>
      <c r="G134" s="103"/>
      <c r="H134" s="103"/>
      <c r="I134" s="106">
        <f>IF(الجدول1[[#This Row],[Signing Contract Date]]=0,0,WORKDAY.INTL(الجدول1[[#This Row],[Signing Contract Date]],List!$J$4,7,List!$M$3:$M$100))</f>
        <v>0</v>
      </c>
      <c r="J134" s="107">
        <f>IF(Z134=0,0,WORKDAY.INTL(Y134,Z134+(AA134*AB134),7,List!$M$3:$M$100))</f>
        <v>0</v>
      </c>
      <c r="K134" s="108"/>
      <c r="L134" s="109"/>
      <c r="M134" s="106">
        <f>الجدول1[[#This Row],[Project Start Date | Contract]]</f>
        <v>0</v>
      </c>
      <c r="N134" s="110"/>
      <c r="O134" s="110"/>
      <c r="P134" s="110"/>
      <c r="Q134" s="110"/>
      <c r="R134" s="109"/>
      <c r="S134" s="31">
        <f>IF(M134=0,0, WORKDAY.INTL( WORKDAY.INTL(M134,N134+(O134*P134),7,List!$M$3:$M$100),List!$K$4,7,List!$M$3:$M$100))</f>
        <v>0</v>
      </c>
      <c r="T134" s="110"/>
      <c r="U134" s="110">
        <f>2</f>
        <v>2</v>
      </c>
      <c r="V134" s="110">
        <f>10</f>
        <v>10</v>
      </c>
      <c r="W134" s="110"/>
      <c r="X134" s="109"/>
      <c r="Y134" s="35">
        <f>IF(S134=0,0,WORKDAY.INTL(S134,T134+(U134*V134),7,List!$M$3:$M$100))</f>
        <v>0</v>
      </c>
      <c r="Z134" s="110"/>
      <c r="AA134" s="110">
        <f>2</f>
        <v>2</v>
      </c>
      <c r="AB134" s="110">
        <f>10</f>
        <v>10</v>
      </c>
      <c r="AC134" s="109"/>
      <c r="AD134" s="109"/>
      <c r="AE134" s="109"/>
      <c r="AF134" s="111"/>
      <c r="AG13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5" spans="4:35" x14ac:dyDescent="0.2">
      <c r="D135" s="104"/>
      <c r="E135" s="103"/>
      <c r="F135" s="105"/>
      <c r="G135" s="103"/>
      <c r="H135" s="103"/>
      <c r="I135" s="106">
        <f>IF(الجدول1[[#This Row],[Signing Contract Date]]=0,0,WORKDAY.INTL(الجدول1[[#This Row],[Signing Contract Date]],List!$J$4,7,List!$M$3:$M$100))</f>
        <v>0</v>
      </c>
      <c r="J135" s="107">
        <f>IF(Z135=0,0,WORKDAY.INTL(Y135,Z135+(AA135*AB135),7,List!$M$3:$M$100))</f>
        <v>0</v>
      </c>
      <c r="K135" s="108"/>
      <c r="L135" s="109"/>
      <c r="M135" s="106">
        <f>الجدول1[[#This Row],[Project Start Date | Contract]]</f>
        <v>0</v>
      </c>
      <c r="N135" s="110"/>
      <c r="O135" s="110"/>
      <c r="P135" s="110"/>
      <c r="Q135" s="110"/>
      <c r="R135" s="109"/>
      <c r="S135" s="31">
        <f>IF(M135=0,0, WORKDAY.INTL( WORKDAY.INTL(M135,N135+(O135*P135),7,List!$M$3:$M$100),List!$K$4,7,List!$M$3:$M$100))</f>
        <v>0</v>
      </c>
      <c r="T135" s="110"/>
      <c r="U135" s="110">
        <f>2</f>
        <v>2</v>
      </c>
      <c r="V135" s="110">
        <f>10</f>
        <v>10</v>
      </c>
      <c r="W135" s="110"/>
      <c r="X135" s="109"/>
      <c r="Y135" s="35">
        <f>IF(S135=0,0,WORKDAY.INTL(S135,T135+(U135*V135),7,List!$M$3:$M$100))</f>
        <v>0</v>
      </c>
      <c r="Z135" s="110"/>
      <c r="AA135" s="110">
        <f>2</f>
        <v>2</v>
      </c>
      <c r="AB135" s="110">
        <f>10</f>
        <v>10</v>
      </c>
      <c r="AC135" s="109"/>
      <c r="AD135" s="109"/>
      <c r="AE135" s="109"/>
      <c r="AF135" s="111"/>
      <c r="AG13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6" spans="4:35" x14ac:dyDescent="0.2">
      <c r="D136" s="104"/>
      <c r="E136" s="103"/>
      <c r="F136" s="105"/>
      <c r="G136" s="103"/>
      <c r="H136" s="103"/>
      <c r="I136" s="106">
        <f>IF(الجدول1[[#This Row],[Signing Contract Date]]=0,0,WORKDAY.INTL(الجدول1[[#This Row],[Signing Contract Date]],List!$J$4,7,List!$M$3:$M$100))</f>
        <v>0</v>
      </c>
      <c r="J136" s="107">
        <f>IF(Z136=0,0,WORKDAY.INTL(Y136,Z136+(AA136*AB136),7,List!$M$3:$M$100))</f>
        <v>0</v>
      </c>
      <c r="K136" s="108"/>
      <c r="L136" s="109"/>
      <c r="M136" s="106">
        <f>الجدول1[[#This Row],[Project Start Date | Contract]]</f>
        <v>0</v>
      </c>
      <c r="N136" s="110"/>
      <c r="O136" s="110"/>
      <c r="P136" s="110"/>
      <c r="Q136" s="110"/>
      <c r="R136" s="109"/>
      <c r="S136" s="31">
        <f>IF(M136=0,0, WORKDAY.INTL( WORKDAY.INTL(M136,N136+(O136*P136),7,List!$M$3:$M$100),List!$K$4,7,List!$M$3:$M$100))</f>
        <v>0</v>
      </c>
      <c r="T136" s="110"/>
      <c r="U136" s="110">
        <f>2</f>
        <v>2</v>
      </c>
      <c r="V136" s="110">
        <f>10</f>
        <v>10</v>
      </c>
      <c r="W136" s="110"/>
      <c r="X136" s="109"/>
      <c r="Y136" s="35">
        <f>IF(S136=0,0,WORKDAY.INTL(S136,T136+(U136*V136),7,List!$M$3:$M$100))</f>
        <v>0</v>
      </c>
      <c r="Z136" s="110"/>
      <c r="AA136" s="110">
        <f>2</f>
        <v>2</v>
      </c>
      <c r="AB136" s="110">
        <f>10</f>
        <v>10</v>
      </c>
      <c r="AC136" s="109"/>
      <c r="AD136" s="109"/>
      <c r="AE136" s="109"/>
      <c r="AF136" s="111"/>
      <c r="AG13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7" spans="4:35" x14ac:dyDescent="0.2">
      <c r="D137" s="104"/>
      <c r="E137" s="103"/>
      <c r="F137" s="105"/>
      <c r="G137" s="103"/>
      <c r="H137" s="103"/>
      <c r="I137" s="106">
        <f>IF(الجدول1[[#This Row],[Signing Contract Date]]=0,0,WORKDAY.INTL(الجدول1[[#This Row],[Signing Contract Date]],List!$J$4,7,List!$M$3:$M$100))</f>
        <v>0</v>
      </c>
      <c r="J137" s="107">
        <f>IF(Z137=0,0,WORKDAY.INTL(Y137,Z137+(AA137*AB137),7,List!$M$3:$M$100))</f>
        <v>0</v>
      </c>
      <c r="K137" s="108"/>
      <c r="L137" s="109"/>
      <c r="M137" s="106">
        <f>الجدول1[[#This Row],[Project Start Date | Contract]]</f>
        <v>0</v>
      </c>
      <c r="N137" s="110"/>
      <c r="O137" s="110"/>
      <c r="P137" s="110"/>
      <c r="Q137" s="110"/>
      <c r="R137" s="109"/>
      <c r="S137" s="31">
        <f>IF(M137=0,0, WORKDAY.INTL( WORKDAY.INTL(M137,N137+(O137*P137),7,List!$M$3:$M$100),List!$K$4,7,List!$M$3:$M$100))</f>
        <v>0</v>
      </c>
      <c r="T137" s="110"/>
      <c r="U137" s="110">
        <f>2</f>
        <v>2</v>
      </c>
      <c r="V137" s="110">
        <f>10</f>
        <v>10</v>
      </c>
      <c r="W137" s="110"/>
      <c r="X137" s="109"/>
      <c r="Y137" s="35">
        <f>IF(S137=0,0,WORKDAY.INTL(S137,T137+(U137*V137),7,List!$M$3:$M$100))</f>
        <v>0</v>
      </c>
      <c r="Z137" s="110"/>
      <c r="AA137" s="110">
        <f>2</f>
        <v>2</v>
      </c>
      <c r="AB137" s="110">
        <f>10</f>
        <v>10</v>
      </c>
      <c r="AC137" s="109"/>
      <c r="AD137" s="109"/>
      <c r="AE137" s="109"/>
      <c r="AF137" s="111"/>
      <c r="AG13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8" spans="4:35" x14ac:dyDescent="0.2">
      <c r="D138" s="104"/>
      <c r="E138" s="103"/>
      <c r="F138" s="105"/>
      <c r="G138" s="103"/>
      <c r="H138" s="103"/>
      <c r="I138" s="106">
        <f>IF(الجدول1[[#This Row],[Signing Contract Date]]=0,0,WORKDAY.INTL(الجدول1[[#This Row],[Signing Contract Date]],List!$J$4,7,List!$M$3:$M$100))</f>
        <v>0</v>
      </c>
      <c r="J138" s="107">
        <f>IF(Z138=0,0,WORKDAY.INTL(Y138,Z138+(AA138*AB138),7,List!$M$3:$M$100))</f>
        <v>0</v>
      </c>
      <c r="K138" s="108"/>
      <c r="L138" s="109"/>
      <c r="M138" s="106">
        <f>الجدول1[[#This Row],[Project Start Date | Contract]]</f>
        <v>0</v>
      </c>
      <c r="N138" s="110"/>
      <c r="O138" s="110"/>
      <c r="P138" s="110"/>
      <c r="Q138" s="110"/>
      <c r="R138" s="109"/>
      <c r="S138" s="31">
        <f>IF(M138=0,0, WORKDAY.INTL( WORKDAY.INTL(M138,N138+(O138*P138),7,List!$M$3:$M$100),List!$K$4,7,List!$M$3:$M$100))</f>
        <v>0</v>
      </c>
      <c r="T138" s="110"/>
      <c r="U138" s="110">
        <f>2</f>
        <v>2</v>
      </c>
      <c r="V138" s="110">
        <f>10</f>
        <v>10</v>
      </c>
      <c r="W138" s="110"/>
      <c r="X138" s="109"/>
      <c r="Y138" s="35">
        <f>IF(S138=0,0,WORKDAY.INTL(S138,T138+(U138*V138),7,List!$M$3:$M$100))</f>
        <v>0</v>
      </c>
      <c r="Z138" s="110"/>
      <c r="AA138" s="110">
        <f>2</f>
        <v>2</v>
      </c>
      <c r="AB138" s="110">
        <f>10</f>
        <v>10</v>
      </c>
      <c r="AC138" s="109"/>
      <c r="AD138" s="109"/>
      <c r="AE138" s="109"/>
      <c r="AF138" s="111"/>
      <c r="AG13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39" spans="4:35" x14ac:dyDescent="0.2">
      <c r="D139" s="104"/>
      <c r="E139" s="103"/>
      <c r="F139" s="105"/>
      <c r="G139" s="103"/>
      <c r="H139" s="103"/>
      <c r="I139" s="106">
        <f>IF(الجدول1[[#This Row],[Signing Contract Date]]=0,0,WORKDAY.INTL(الجدول1[[#This Row],[Signing Contract Date]],List!$J$4,7,List!$M$3:$M$100))</f>
        <v>0</v>
      </c>
      <c r="J139" s="107">
        <f>IF(Z139=0,0,WORKDAY.INTL(Y139,Z139+(AA139*AB139),7,List!$M$3:$M$100))</f>
        <v>0</v>
      </c>
      <c r="K139" s="108"/>
      <c r="L139" s="109"/>
      <c r="M139" s="106">
        <f>الجدول1[[#This Row],[Project Start Date | Contract]]</f>
        <v>0</v>
      </c>
      <c r="N139" s="110"/>
      <c r="O139" s="110"/>
      <c r="P139" s="110"/>
      <c r="Q139" s="110"/>
      <c r="R139" s="109"/>
      <c r="S139" s="31">
        <f>IF(M139=0,0, WORKDAY.INTL( WORKDAY.INTL(M139,N139+(O139*P139),7,List!$M$3:$M$100),List!$K$4,7,List!$M$3:$M$100))</f>
        <v>0</v>
      </c>
      <c r="T139" s="110"/>
      <c r="U139" s="110">
        <f>2</f>
        <v>2</v>
      </c>
      <c r="V139" s="110">
        <f>10</f>
        <v>10</v>
      </c>
      <c r="W139" s="110"/>
      <c r="X139" s="109"/>
      <c r="Y139" s="35">
        <f>IF(S139=0,0,WORKDAY.INTL(S139,T139+(U139*V139),7,List!$M$3:$M$100))</f>
        <v>0</v>
      </c>
      <c r="Z139" s="110"/>
      <c r="AA139" s="110">
        <f>2</f>
        <v>2</v>
      </c>
      <c r="AB139" s="110">
        <f>10</f>
        <v>10</v>
      </c>
      <c r="AC139" s="109"/>
      <c r="AD139" s="109"/>
      <c r="AE139" s="109"/>
      <c r="AF139" s="111"/>
      <c r="AG13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3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3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0" spans="4:35" x14ac:dyDescent="0.2">
      <c r="D140" s="104"/>
      <c r="E140" s="103"/>
      <c r="F140" s="105"/>
      <c r="G140" s="103"/>
      <c r="H140" s="103"/>
      <c r="I140" s="106">
        <f>IF(الجدول1[[#This Row],[Signing Contract Date]]=0,0,WORKDAY.INTL(الجدول1[[#This Row],[Signing Contract Date]],List!$J$4,7,List!$M$3:$M$100))</f>
        <v>0</v>
      </c>
      <c r="J140" s="107">
        <f>IF(Z140=0,0,WORKDAY.INTL(Y140,Z140+(AA140*AB140),7,List!$M$3:$M$100))</f>
        <v>0</v>
      </c>
      <c r="K140" s="108"/>
      <c r="L140" s="109"/>
      <c r="M140" s="106">
        <f>الجدول1[[#This Row],[Project Start Date | Contract]]</f>
        <v>0</v>
      </c>
      <c r="N140" s="110"/>
      <c r="O140" s="110"/>
      <c r="P140" s="110"/>
      <c r="Q140" s="110"/>
      <c r="R140" s="109"/>
      <c r="S140" s="31">
        <f>IF(M140=0,0, WORKDAY.INTL( WORKDAY.INTL(M140,N140+(O140*P140),7,List!$M$3:$M$100),List!$K$4,7,List!$M$3:$M$100))</f>
        <v>0</v>
      </c>
      <c r="T140" s="110"/>
      <c r="U140" s="110">
        <f>2</f>
        <v>2</v>
      </c>
      <c r="V140" s="110">
        <f>10</f>
        <v>10</v>
      </c>
      <c r="W140" s="110"/>
      <c r="X140" s="109"/>
      <c r="Y140" s="35">
        <f>IF(S140=0,0,WORKDAY.INTL(S140,T140+(U140*V140),7,List!$M$3:$M$100))</f>
        <v>0</v>
      </c>
      <c r="Z140" s="110"/>
      <c r="AA140" s="110">
        <f>2</f>
        <v>2</v>
      </c>
      <c r="AB140" s="110">
        <f>10</f>
        <v>10</v>
      </c>
      <c r="AC140" s="109"/>
      <c r="AD140" s="109"/>
      <c r="AE140" s="109"/>
      <c r="AF140" s="111"/>
      <c r="AG14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1" spans="4:35" x14ac:dyDescent="0.2">
      <c r="D141" s="104"/>
      <c r="E141" s="103"/>
      <c r="F141" s="105"/>
      <c r="G141" s="103"/>
      <c r="H141" s="103"/>
      <c r="I141" s="106">
        <f>IF(الجدول1[[#This Row],[Signing Contract Date]]=0,0,WORKDAY.INTL(الجدول1[[#This Row],[Signing Contract Date]],List!$J$4,7,List!$M$3:$M$100))</f>
        <v>0</v>
      </c>
      <c r="J141" s="107">
        <f>IF(Z141=0,0,WORKDAY.INTL(Y141,Z141+(AA141*AB141),7,List!$M$3:$M$100))</f>
        <v>0</v>
      </c>
      <c r="K141" s="108"/>
      <c r="L141" s="109"/>
      <c r="M141" s="106">
        <f>الجدول1[[#This Row],[Project Start Date | Contract]]</f>
        <v>0</v>
      </c>
      <c r="N141" s="110"/>
      <c r="O141" s="110"/>
      <c r="P141" s="110"/>
      <c r="Q141" s="110"/>
      <c r="R141" s="109"/>
      <c r="S141" s="31">
        <f>IF(M141=0,0, WORKDAY.INTL( WORKDAY.INTL(M141,N141+(O141*P141),7,List!$M$3:$M$100),List!$K$4,7,List!$M$3:$M$100))</f>
        <v>0</v>
      </c>
      <c r="T141" s="110"/>
      <c r="U141" s="110">
        <f>2</f>
        <v>2</v>
      </c>
      <c r="V141" s="110">
        <f>10</f>
        <v>10</v>
      </c>
      <c r="W141" s="110"/>
      <c r="X141" s="109"/>
      <c r="Y141" s="35">
        <f>IF(S141=0,0,WORKDAY.INTL(S141,T141+(U141*V141),7,List!$M$3:$M$100))</f>
        <v>0</v>
      </c>
      <c r="Z141" s="110"/>
      <c r="AA141" s="110">
        <f>2</f>
        <v>2</v>
      </c>
      <c r="AB141" s="110">
        <f>10</f>
        <v>10</v>
      </c>
      <c r="AC141" s="109"/>
      <c r="AD141" s="109"/>
      <c r="AE141" s="109"/>
      <c r="AF141" s="111"/>
      <c r="AG14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2" spans="4:35" x14ac:dyDescent="0.2">
      <c r="D142" s="104"/>
      <c r="E142" s="103"/>
      <c r="F142" s="105"/>
      <c r="G142" s="103"/>
      <c r="H142" s="103"/>
      <c r="I142" s="106">
        <f>IF(الجدول1[[#This Row],[Signing Contract Date]]=0,0,WORKDAY.INTL(الجدول1[[#This Row],[Signing Contract Date]],List!$J$4,7,List!$M$3:$M$100))</f>
        <v>0</v>
      </c>
      <c r="J142" s="107">
        <f>IF(Z142=0,0,WORKDAY.INTL(Y142,Z142+(AA142*AB142),7,List!$M$3:$M$100))</f>
        <v>0</v>
      </c>
      <c r="K142" s="108"/>
      <c r="L142" s="109"/>
      <c r="M142" s="106">
        <f>الجدول1[[#This Row],[Project Start Date | Contract]]</f>
        <v>0</v>
      </c>
      <c r="N142" s="110"/>
      <c r="O142" s="110"/>
      <c r="P142" s="110"/>
      <c r="Q142" s="110"/>
      <c r="R142" s="109"/>
      <c r="S142" s="31">
        <f>IF(M142=0,0, WORKDAY.INTL( WORKDAY.INTL(M142,N142+(O142*P142),7,List!$M$3:$M$100),List!$K$4,7,List!$M$3:$M$100))</f>
        <v>0</v>
      </c>
      <c r="T142" s="110"/>
      <c r="U142" s="110">
        <f>2</f>
        <v>2</v>
      </c>
      <c r="V142" s="110">
        <f>10</f>
        <v>10</v>
      </c>
      <c r="W142" s="110"/>
      <c r="X142" s="109"/>
      <c r="Y142" s="35">
        <f>IF(S142=0,0,WORKDAY.INTL(S142,T142+(U142*V142),7,List!$M$3:$M$100))</f>
        <v>0</v>
      </c>
      <c r="Z142" s="110"/>
      <c r="AA142" s="110">
        <f>2</f>
        <v>2</v>
      </c>
      <c r="AB142" s="110">
        <f>10</f>
        <v>10</v>
      </c>
      <c r="AC142" s="109"/>
      <c r="AD142" s="109"/>
      <c r="AE142" s="109"/>
      <c r="AF142" s="111"/>
      <c r="AG14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3" spans="4:35" x14ac:dyDescent="0.2">
      <c r="D143" s="104"/>
      <c r="E143" s="103"/>
      <c r="F143" s="105"/>
      <c r="G143" s="103"/>
      <c r="H143" s="103"/>
      <c r="I143" s="106">
        <f>IF(الجدول1[[#This Row],[Signing Contract Date]]=0,0,WORKDAY.INTL(الجدول1[[#This Row],[Signing Contract Date]],List!$J$4,7,List!$M$3:$M$100))</f>
        <v>0</v>
      </c>
      <c r="J143" s="107">
        <f>IF(Z143=0,0,WORKDAY.INTL(Y143,Z143+(AA143*AB143),7,List!$M$3:$M$100))</f>
        <v>0</v>
      </c>
      <c r="K143" s="108"/>
      <c r="L143" s="109"/>
      <c r="M143" s="106">
        <f>الجدول1[[#This Row],[Project Start Date | Contract]]</f>
        <v>0</v>
      </c>
      <c r="N143" s="110"/>
      <c r="O143" s="110"/>
      <c r="P143" s="110"/>
      <c r="Q143" s="110"/>
      <c r="R143" s="109"/>
      <c r="S143" s="31">
        <f>IF(M143=0,0, WORKDAY.INTL( WORKDAY.INTL(M143,N143+(O143*P143),7,List!$M$3:$M$100),List!$K$4,7,List!$M$3:$M$100))</f>
        <v>0</v>
      </c>
      <c r="T143" s="110"/>
      <c r="U143" s="110">
        <f>2</f>
        <v>2</v>
      </c>
      <c r="V143" s="110">
        <f>10</f>
        <v>10</v>
      </c>
      <c r="W143" s="110"/>
      <c r="X143" s="109"/>
      <c r="Y143" s="35">
        <f>IF(S143=0,0,WORKDAY.INTL(S143,T143+(U143*V143),7,List!$M$3:$M$100))</f>
        <v>0</v>
      </c>
      <c r="Z143" s="110"/>
      <c r="AA143" s="110">
        <f>2</f>
        <v>2</v>
      </c>
      <c r="AB143" s="110">
        <f>10</f>
        <v>10</v>
      </c>
      <c r="AC143" s="109"/>
      <c r="AD143" s="109"/>
      <c r="AE143" s="109"/>
      <c r="AF143" s="111"/>
      <c r="AG14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4" spans="4:35" x14ac:dyDescent="0.2">
      <c r="D144" s="104"/>
      <c r="E144" s="103"/>
      <c r="F144" s="105"/>
      <c r="G144" s="103"/>
      <c r="H144" s="103"/>
      <c r="I144" s="106">
        <f>IF(الجدول1[[#This Row],[Signing Contract Date]]=0,0,WORKDAY.INTL(الجدول1[[#This Row],[Signing Contract Date]],List!$J$4,7,List!$M$3:$M$100))</f>
        <v>0</v>
      </c>
      <c r="J144" s="107">
        <f>IF(Z144=0,0,WORKDAY.INTL(Y144,Z144+(AA144*AB144),7,List!$M$3:$M$100))</f>
        <v>0</v>
      </c>
      <c r="K144" s="108"/>
      <c r="L144" s="109"/>
      <c r="M144" s="106">
        <f>الجدول1[[#This Row],[Project Start Date | Contract]]</f>
        <v>0</v>
      </c>
      <c r="N144" s="110"/>
      <c r="O144" s="110"/>
      <c r="P144" s="110"/>
      <c r="Q144" s="110"/>
      <c r="R144" s="109"/>
      <c r="S144" s="31">
        <f>IF(M144=0,0, WORKDAY.INTL( WORKDAY.INTL(M144,N144+(O144*P144),7,List!$M$3:$M$100),List!$K$4,7,List!$M$3:$M$100))</f>
        <v>0</v>
      </c>
      <c r="T144" s="110"/>
      <c r="U144" s="110">
        <f>2</f>
        <v>2</v>
      </c>
      <c r="V144" s="110">
        <f>10</f>
        <v>10</v>
      </c>
      <c r="W144" s="110"/>
      <c r="X144" s="109"/>
      <c r="Y144" s="35">
        <f>IF(S144=0,0,WORKDAY.INTL(S144,T144+(U144*V144),7,List!$M$3:$M$100))</f>
        <v>0</v>
      </c>
      <c r="Z144" s="110"/>
      <c r="AA144" s="110">
        <f>2</f>
        <v>2</v>
      </c>
      <c r="AB144" s="110">
        <f>10</f>
        <v>10</v>
      </c>
      <c r="AC144" s="109"/>
      <c r="AD144" s="109"/>
      <c r="AE144" s="109"/>
      <c r="AF144" s="111"/>
      <c r="AG14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5" spans="4:35" x14ac:dyDescent="0.2">
      <c r="D145" s="104"/>
      <c r="E145" s="103"/>
      <c r="F145" s="105"/>
      <c r="G145" s="103"/>
      <c r="H145" s="103"/>
      <c r="I145" s="106">
        <f>IF(الجدول1[[#This Row],[Signing Contract Date]]=0,0,WORKDAY.INTL(الجدول1[[#This Row],[Signing Contract Date]],List!$J$4,7,List!$M$3:$M$100))</f>
        <v>0</v>
      </c>
      <c r="J145" s="107">
        <f>IF(Z145=0,0,WORKDAY.INTL(Y145,Z145+(AA145*AB145),7,List!$M$3:$M$100))</f>
        <v>0</v>
      </c>
      <c r="K145" s="108"/>
      <c r="L145" s="109"/>
      <c r="M145" s="106">
        <f>الجدول1[[#This Row],[Project Start Date | Contract]]</f>
        <v>0</v>
      </c>
      <c r="N145" s="110"/>
      <c r="O145" s="110"/>
      <c r="P145" s="110"/>
      <c r="Q145" s="110"/>
      <c r="R145" s="109"/>
      <c r="S145" s="31">
        <f>IF(M145=0,0, WORKDAY.INTL( WORKDAY.INTL(M145,N145+(O145*P145),7,List!$M$3:$M$100),List!$K$4,7,List!$M$3:$M$100))</f>
        <v>0</v>
      </c>
      <c r="T145" s="110"/>
      <c r="U145" s="110">
        <f>2</f>
        <v>2</v>
      </c>
      <c r="V145" s="110">
        <f>10</f>
        <v>10</v>
      </c>
      <c r="W145" s="110"/>
      <c r="X145" s="109"/>
      <c r="Y145" s="35">
        <f>IF(S145=0,0,WORKDAY.INTL(S145,T145+(U145*V145),7,List!$M$3:$M$100))</f>
        <v>0</v>
      </c>
      <c r="Z145" s="110"/>
      <c r="AA145" s="110">
        <f>2</f>
        <v>2</v>
      </c>
      <c r="AB145" s="110">
        <f>10</f>
        <v>10</v>
      </c>
      <c r="AC145" s="109"/>
      <c r="AD145" s="109"/>
      <c r="AE145" s="109"/>
      <c r="AF145" s="111"/>
      <c r="AG14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6" spans="4:35" x14ac:dyDescent="0.2">
      <c r="D146" s="104"/>
      <c r="E146" s="103"/>
      <c r="F146" s="105"/>
      <c r="G146" s="103"/>
      <c r="H146" s="103"/>
      <c r="I146" s="106">
        <f>IF(الجدول1[[#This Row],[Signing Contract Date]]=0,0,WORKDAY.INTL(الجدول1[[#This Row],[Signing Contract Date]],List!$J$4,7,List!$M$3:$M$100))</f>
        <v>0</v>
      </c>
      <c r="J146" s="107">
        <f>IF(Z146=0,0,WORKDAY.INTL(Y146,Z146+(AA146*AB146),7,List!$M$3:$M$100))</f>
        <v>0</v>
      </c>
      <c r="K146" s="108"/>
      <c r="L146" s="109"/>
      <c r="M146" s="106">
        <f>الجدول1[[#This Row],[Project Start Date | Contract]]</f>
        <v>0</v>
      </c>
      <c r="N146" s="110"/>
      <c r="O146" s="110"/>
      <c r="P146" s="110"/>
      <c r="Q146" s="110"/>
      <c r="R146" s="109"/>
      <c r="S146" s="31">
        <f>IF(M146=0,0, WORKDAY.INTL( WORKDAY.INTL(M146,N146+(O146*P146),7,List!$M$3:$M$100),List!$K$4,7,List!$M$3:$M$100))</f>
        <v>0</v>
      </c>
      <c r="T146" s="110"/>
      <c r="U146" s="110">
        <f>2</f>
        <v>2</v>
      </c>
      <c r="V146" s="110">
        <f>10</f>
        <v>10</v>
      </c>
      <c r="W146" s="110"/>
      <c r="X146" s="109"/>
      <c r="Y146" s="35">
        <f>IF(S146=0,0,WORKDAY.INTL(S146,T146+(U146*V146),7,List!$M$3:$M$100))</f>
        <v>0</v>
      </c>
      <c r="Z146" s="110"/>
      <c r="AA146" s="110">
        <f>2</f>
        <v>2</v>
      </c>
      <c r="AB146" s="110">
        <f>10</f>
        <v>10</v>
      </c>
      <c r="AC146" s="109"/>
      <c r="AD146" s="109"/>
      <c r="AE146" s="109"/>
      <c r="AF146" s="111"/>
      <c r="AG14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7" spans="4:35" x14ac:dyDescent="0.2">
      <c r="D147" s="104"/>
      <c r="E147" s="103"/>
      <c r="F147" s="105"/>
      <c r="G147" s="103"/>
      <c r="H147" s="103"/>
      <c r="I147" s="106">
        <f>IF(الجدول1[[#This Row],[Signing Contract Date]]=0,0,WORKDAY.INTL(الجدول1[[#This Row],[Signing Contract Date]],List!$J$4,7,List!$M$3:$M$100))</f>
        <v>0</v>
      </c>
      <c r="J147" s="107">
        <f>IF(Z147=0,0,WORKDAY.INTL(Y147,Z147+(AA147*AB147),7,List!$M$3:$M$100))</f>
        <v>0</v>
      </c>
      <c r="K147" s="108"/>
      <c r="L147" s="109"/>
      <c r="M147" s="106">
        <f>الجدول1[[#This Row],[Project Start Date | Contract]]</f>
        <v>0</v>
      </c>
      <c r="N147" s="110"/>
      <c r="O147" s="110"/>
      <c r="P147" s="110"/>
      <c r="Q147" s="110"/>
      <c r="R147" s="109"/>
      <c r="S147" s="31">
        <f>IF(M147=0,0, WORKDAY.INTL( WORKDAY.INTL(M147,N147+(O147*P147),7,List!$M$3:$M$100),List!$K$4,7,List!$M$3:$M$100))</f>
        <v>0</v>
      </c>
      <c r="T147" s="110"/>
      <c r="U147" s="110">
        <f>2</f>
        <v>2</v>
      </c>
      <c r="V147" s="110">
        <f>10</f>
        <v>10</v>
      </c>
      <c r="W147" s="110"/>
      <c r="X147" s="109"/>
      <c r="Y147" s="35">
        <f>IF(S147=0,0,WORKDAY.INTL(S147,T147+(U147*V147),7,List!$M$3:$M$100))</f>
        <v>0</v>
      </c>
      <c r="Z147" s="110"/>
      <c r="AA147" s="110">
        <f>2</f>
        <v>2</v>
      </c>
      <c r="AB147" s="110">
        <f>10</f>
        <v>10</v>
      </c>
      <c r="AC147" s="109"/>
      <c r="AD147" s="109"/>
      <c r="AE147" s="109"/>
      <c r="AF147" s="111"/>
      <c r="AG14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8" spans="4:35" x14ac:dyDescent="0.2">
      <c r="D148" s="104"/>
      <c r="E148" s="103"/>
      <c r="F148" s="105"/>
      <c r="G148" s="103"/>
      <c r="H148" s="103"/>
      <c r="I148" s="106">
        <f>IF(الجدول1[[#This Row],[Signing Contract Date]]=0,0,WORKDAY.INTL(الجدول1[[#This Row],[Signing Contract Date]],List!$J$4,7,List!$M$3:$M$100))</f>
        <v>0</v>
      </c>
      <c r="J148" s="107">
        <f>IF(Z148=0,0,WORKDAY.INTL(Y148,Z148+(AA148*AB148),7,List!$M$3:$M$100))</f>
        <v>0</v>
      </c>
      <c r="K148" s="108"/>
      <c r="L148" s="109"/>
      <c r="M148" s="106">
        <f>الجدول1[[#This Row],[Project Start Date | Contract]]</f>
        <v>0</v>
      </c>
      <c r="N148" s="110"/>
      <c r="O148" s="110"/>
      <c r="P148" s="110"/>
      <c r="Q148" s="110"/>
      <c r="R148" s="109"/>
      <c r="S148" s="31">
        <f>IF(M148=0,0, WORKDAY.INTL( WORKDAY.INTL(M148,N148+(O148*P148),7,List!$M$3:$M$100),List!$K$4,7,List!$M$3:$M$100))</f>
        <v>0</v>
      </c>
      <c r="T148" s="110"/>
      <c r="U148" s="110">
        <f>2</f>
        <v>2</v>
      </c>
      <c r="V148" s="110">
        <f>10</f>
        <v>10</v>
      </c>
      <c r="W148" s="110"/>
      <c r="X148" s="109"/>
      <c r="Y148" s="35">
        <f>IF(S148=0,0,WORKDAY.INTL(S148,T148+(U148*V148),7,List!$M$3:$M$100))</f>
        <v>0</v>
      </c>
      <c r="Z148" s="110"/>
      <c r="AA148" s="110">
        <f>2</f>
        <v>2</v>
      </c>
      <c r="AB148" s="110">
        <f>10</f>
        <v>10</v>
      </c>
      <c r="AC148" s="109"/>
      <c r="AD148" s="109"/>
      <c r="AE148" s="109"/>
      <c r="AF148" s="111"/>
      <c r="AG14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49" spans="4:35" x14ac:dyDescent="0.2">
      <c r="D149" s="104"/>
      <c r="E149" s="103"/>
      <c r="F149" s="105"/>
      <c r="G149" s="103"/>
      <c r="H149" s="103"/>
      <c r="I149" s="106">
        <f>IF(الجدول1[[#This Row],[Signing Contract Date]]=0,0,WORKDAY.INTL(الجدول1[[#This Row],[Signing Contract Date]],List!$J$4,7,List!$M$3:$M$100))</f>
        <v>0</v>
      </c>
      <c r="J149" s="107">
        <f>IF(Z149=0,0,WORKDAY.INTL(Y149,Z149+(AA149*AB149),7,List!$M$3:$M$100))</f>
        <v>0</v>
      </c>
      <c r="K149" s="108"/>
      <c r="L149" s="109"/>
      <c r="M149" s="106">
        <f>الجدول1[[#This Row],[Project Start Date | Contract]]</f>
        <v>0</v>
      </c>
      <c r="N149" s="110"/>
      <c r="O149" s="110"/>
      <c r="P149" s="110"/>
      <c r="Q149" s="110"/>
      <c r="R149" s="109"/>
      <c r="S149" s="31">
        <f>IF(M149=0,0, WORKDAY.INTL( WORKDAY.INTL(M149,N149+(O149*P149),7,List!$M$3:$M$100),List!$K$4,7,List!$M$3:$M$100))</f>
        <v>0</v>
      </c>
      <c r="T149" s="110"/>
      <c r="U149" s="110">
        <f>2</f>
        <v>2</v>
      </c>
      <c r="V149" s="110">
        <f>10</f>
        <v>10</v>
      </c>
      <c r="W149" s="110"/>
      <c r="X149" s="109"/>
      <c r="Y149" s="35">
        <f>IF(S149=0,0,WORKDAY.INTL(S149,T149+(U149*V149),7,List!$M$3:$M$100))</f>
        <v>0</v>
      </c>
      <c r="Z149" s="110"/>
      <c r="AA149" s="110">
        <f>2</f>
        <v>2</v>
      </c>
      <c r="AB149" s="110">
        <f>10</f>
        <v>10</v>
      </c>
      <c r="AC149" s="109"/>
      <c r="AD149" s="109"/>
      <c r="AE149" s="109"/>
      <c r="AF149" s="111"/>
      <c r="AG14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4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4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0" spans="4:35" x14ac:dyDescent="0.2">
      <c r="D150" s="104"/>
      <c r="E150" s="103"/>
      <c r="F150" s="105"/>
      <c r="G150" s="103"/>
      <c r="H150" s="103"/>
      <c r="I150" s="106">
        <f>IF(الجدول1[[#This Row],[Signing Contract Date]]=0,0,WORKDAY.INTL(الجدول1[[#This Row],[Signing Contract Date]],List!$J$4,7,List!$M$3:$M$100))</f>
        <v>0</v>
      </c>
      <c r="J150" s="107">
        <f>IF(Z150=0,0,WORKDAY.INTL(Y150,Z150+(AA150*AB150),7,List!$M$3:$M$100))</f>
        <v>0</v>
      </c>
      <c r="K150" s="108"/>
      <c r="L150" s="109"/>
      <c r="M150" s="106">
        <f>الجدول1[[#This Row],[Project Start Date | Contract]]</f>
        <v>0</v>
      </c>
      <c r="N150" s="110"/>
      <c r="O150" s="110"/>
      <c r="P150" s="110"/>
      <c r="Q150" s="110"/>
      <c r="R150" s="109"/>
      <c r="S150" s="31">
        <f>IF(M150=0,0, WORKDAY.INTL( WORKDAY.INTL(M150,N150+(O150*P150),7,List!$M$3:$M$100),List!$K$4,7,List!$M$3:$M$100))</f>
        <v>0</v>
      </c>
      <c r="T150" s="110"/>
      <c r="U150" s="110">
        <f>2</f>
        <v>2</v>
      </c>
      <c r="V150" s="110">
        <f>10</f>
        <v>10</v>
      </c>
      <c r="W150" s="110"/>
      <c r="X150" s="109"/>
      <c r="Y150" s="35">
        <f>IF(S150=0,0,WORKDAY.INTL(S150,T150+(U150*V150),7,List!$M$3:$M$100))</f>
        <v>0</v>
      </c>
      <c r="Z150" s="110"/>
      <c r="AA150" s="110">
        <f>2</f>
        <v>2</v>
      </c>
      <c r="AB150" s="110">
        <f>10</f>
        <v>10</v>
      </c>
      <c r="AC150" s="109"/>
      <c r="AD150" s="109"/>
      <c r="AE150" s="109"/>
      <c r="AF150" s="111"/>
      <c r="AG15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1" spans="4:35" x14ac:dyDescent="0.2">
      <c r="D151" s="104"/>
      <c r="E151" s="103"/>
      <c r="F151" s="105"/>
      <c r="G151" s="103"/>
      <c r="H151" s="103"/>
      <c r="I151" s="106">
        <f>IF(الجدول1[[#This Row],[Signing Contract Date]]=0,0,WORKDAY.INTL(الجدول1[[#This Row],[Signing Contract Date]],List!$J$4,7,List!$M$3:$M$100))</f>
        <v>0</v>
      </c>
      <c r="J151" s="107">
        <f>IF(Z151=0,0,WORKDAY.INTL(Y151,Z151+(AA151*AB151),7,List!$M$3:$M$100))</f>
        <v>0</v>
      </c>
      <c r="K151" s="108"/>
      <c r="L151" s="109"/>
      <c r="M151" s="106">
        <f>الجدول1[[#This Row],[Project Start Date | Contract]]</f>
        <v>0</v>
      </c>
      <c r="N151" s="110"/>
      <c r="O151" s="110"/>
      <c r="P151" s="110"/>
      <c r="Q151" s="110"/>
      <c r="R151" s="109"/>
      <c r="S151" s="31">
        <f>IF(M151=0,0, WORKDAY.INTL( WORKDAY.INTL(M151,N151+(O151*P151),7,List!$M$3:$M$100),List!$K$4,7,List!$M$3:$M$100))</f>
        <v>0</v>
      </c>
      <c r="T151" s="110"/>
      <c r="U151" s="110">
        <f>2</f>
        <v>2</v>
      </c>
      <c r="V151" s="110">
        <f>10</f>
        <v>10</v>
      </c>
      <c r="W151" s="110"/>
      <c r="X151" s="109"/>
      <c r="Y151" s="35">
        <f>IF(S151=0,0,WORKDAY.INTL(S151,T151+(U151*V151),7,List!$M$3:$M$100))</f>
        <v>0</v>
      </c>
      <c r="Z151" s="110"/>
      <c r="AA151" s="110">
        <f>2</f>
        <v>2</v>
      </c>
      <c r="AB151" s="110">
        <f>10</f>
        <v>10</v>
      </c>
      <c r="AC151" s="109"/>
      <c r="AD151" s="109"/>
      <c r="AE151" s="109"/>
      <c r="AF151" s="111"/>
      <c r="AG15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2" spans="4:35" x14ac:dyDescent="0.2">
      <c r="D152" s="104"/>
      <c r="E152" s="103"/>
      <c r="F152" s="105"/>
      <c r="G152" s="103"/>
      <c r="H152" s="103"/>
      <c r="I152" s="106">
        <f>IF(الجدول1[[#This Row],[Signing Contract Date]]=0,0,WORKDAY.INTL(الجدول1[[#This Row],[Signing Contract Date]],List!$J$4,7,List!$M$3:$M$100))</f>
        <v>0</v>
      </c>
      <c r="J152" s="107">
        <f>IF(Z152=0,0,WORKDAY.INTL(Y152,Z152+(AA152*AB152),7,List!$M$3:$M$100))</f>
        <v>0</v>
      </c>
      <c r="K152" s="108"/>
      <c r="L152" s="109"/>
      <c r="M152" s="106">
        <f>الجدول1[[#This Row],[Project Start Date | Contract]]</f>
        <v>0</v>
      </c>
      <c r="N152" s="110"/>
      <c r="O152" s="110"/>
      <c r="P152" s="110"/>
      <c r="Q152" s="110"/>
      <c r="R152" s="109"/>
      <c r="S152" s="31">
        <f>IF(M152=0,0, WORKDAY.INTL( WORKDAY.INTL(M152,N152+(O152*P152),7,List!$M$3:$M$100),List!$K$4,7,List!$M$3:$M$100))</f>
        <v>0</v>
      </c>
      <c r="T152" s="110"/>
      <c r="U152" s="110">
        <f>2</f>
        <v>2</v>
      </c>
      <c r="V152" s="110">
        <f>10</f>
        <v>10</v>
      </c>
      <c r="W152" s="110"/>
      <c r="X152" s="109"/>
      <c r="Y152" s="35">
        <f>IF(S152=0,0,WORKDAY.INTL(S152,T152+(U152*V152),7,List!$M$3:$M$100))</f>
        <v>0</v>
      </c>
      <c r="Z152" s="110"/>
      <c r="AA152" s="110">
        <f>2</f>
        <v>2</v>
      </c>
      <c r="AB152" s="110">
        <f>10</f>
        <v>10</v>
      </c>
      <c r="AC152" s="109"/>
      <c r="AD152" s="109"/>
      <c r="AE152" s="109"/>
      <c r="AF152" s="111"/>
      <c r="AG15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3" spans="4:35" x14ac:dyDescent="0.2">
      <c r="D153" s="104"/>
      <c r="E153" s="103"/>
      <c r="F153" s="105"/>
      <c r="G153" s="103"/>
      <c r="H153" s="103"/>
      <c r="I153" s="106">
        <f>IF(الجدول1[[#This Row],[Signing Contract Date]]=0,0,WORKDAY.INTL(الجدول1[[#This Row],[Signing Contract Date]],List!$J$4,7,List!$M$3:$M$100))</f>
        <v>0</v>
      </c>
      <c r="J153" s="107">
        <f>IF(Z153=0,0,WORKDAY.INTL(Y153,Z153+(AA153*AB153),7,List!$M$3:$M$100))</f>
        <v>0</v>
      </c>
      <c r="K153" s="108"/>
      <c r="L153" s="109"/>
      <c r="M153" s="106">
        <f>الجدول1[[#This Row],[Project Start Date | Contract]]</f>
        <v>0</v>
      </c>
      <c r="N153" s="110"/>
      <c r="O153" s="110"/>
      <c r="P153" s="110"/>
      <c r="Q153" s="110"/>
      <c r="R153" s="109"/>
      <c r="S153" s="31">
        <f>IF(M153=0,0, WORKDAY.INTL( WORKDAY.INTL(M153,N153+(O153*P153),7,List!$M$3:$M$100),List!$K$4,7,List!$M$3:$M$100))</f>
        <v>0</v>
      </c>
      <c r="T153" s="110"/>
      <c r="U153" s="110">
        <f>2</f>
        <v>2</v>
      </c>
      <c r="V153" s="110">
        <f>10</f>
        <v>10</v>
      </c>
      <c r="W153" s="110"/>
      <c r="X153" s="109"/>
      <c r="Y153" s="35">
        <f>IF(S153=0,0,WORKDAY.INTL(S153,T153+(U153*V153),7,List!$M$3:$M$100))</f>
        <v>0</v>
      </c>
      <c r="Z153" s="110"/>
      <c r="AA153" s="110">
        <f>2</f>
        <v>2</v>
      </c>
      <c r="AB153" s="110">
        <f>10</f>
        <v>10</v>
      </c>
      <c r="AC153" s="109"/>
      <c r="AD153" s="109"/>
      <c r="AE153" s="109"/>
      <c r="AF153" s="111"/>
      <c r="AG15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4" spans="4:35" x14ac:dyDescent="0.2">
      <c r="D154" s="104"/>
      <c r="E154" s="103"/>
      <c r="F154" s="105"/>
      <c r="G154" s="103"/>
      <c r="H154" s="103"/>
      <c r="I154" s="106">
        <f>IF(الجدول1[[#This Row],[Signing Contract Date]]=0,0,WORKDAY.INTL(الجدول1[[#This Row],[Signing Contract Date]],List!$J$4,7,List!$M$3:$M$100))</f>
        <v>0</v>
      </c>
      <c r="J154" s="107">
        <f>IF(Z154=0,0,WORKDAY.INTL(Y154,Z154+(AA154*AB154),7,List!$M$3:$M$100))</f>
        <v>0</v>
      </c>
      <c r="K154" s="108"/>
      <c r="L154" s="109"/>
      <c r="M154" s="106">
        <f>الجدول1[[#This Row],[Project Start Date | Contract]]</f>
        <v>0</v>
      </c>
      <c r="N154" s="110"/>
      <c r="O154" s="110"/>
      <c r="P154" s="110"/>
      <c r="Q154" s="110"/>
      <c r="R154" s="109"/>
      <c r="S154" s="31">
        <f>IF(M154=0,0, WORKDAY.INTL( WORKDAY.INTL(M154,N154+(O154*P154),7,List!$M$3:$M$100),List!$K$4,7,List!$M$3:$M$100))</f>
        <v>0</v>
      </c>
      <c r="T154" s="110"/>
      <c r="U154" s="110">
        <f>2</f>
        <v>2</v>
      </c>
      <c r="V154" s="110">
        <f>10</f>
        <v>10</v>
      </c>
      <c r="W154" s="110"/>
      <c r="X154" s="109"/>
      <c r="Y154" s="35">
        <f>IF(S154=0,0,WORKDAY.INTL(S154,T154+(U154*V154),7,List!$M$3:$M$100))</f>
        <v>0</v>
      </c>
      <c r="Z154" s="110"/>
      <c r="AA154" s="110">
        <f>2</f>
        <v>2</v>
      </c>
      <c r="AB154" s="110">
        <f>10</f>
        <v>10</v>
      </c>
      <c r="AC154" s="109"/>
      <c r="AD154" s="109"/>
      <c r="AE154" s="109"/>
      <c r="AF154" s="111"/>
      <c r="AG15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5" spans="4:35" x14ac:dyDescent="0.2">
      <c r="D155" s="104"/>
      <c r="E155" s="103"/>
      <c r="F155" s="105"/>
      <c r="G155" s="103"/>
      <c r="H155" s="103"/>
      <c r="I155" s="106">
        <f>IF(الجدول1[[#This Row],[Signing Contract Date]]=0,0,WORKDAY.INTL(الجدول1[[#This Row],[Signing Contract Date]],List!$J$4,7,List!$M$3:$M$100))</f>
        <v>0</v>
      </c>
      <c r="J155" s="107">
        <f>IF(Z155=0,0,WORKDAY.INTL(Y155,Z155+(AA155*AB155),7,List!$M$3:$M$100))</f>
        <v>0</v>
      </c>
      <c r="K155" s="108"/>
      <c r="L155" s="109"/>
      <c r="M155" s="106">
        <f>الجدول1[[#This Row],[Project Start Date | Contract]]</f>
        <v>0</v>
      </c>
      <c r="N155" s="110"/>
      <c r="O155" s="110"/>
      <c r="P155" s="110"/>
      <c r="Q155" s="110"/>
      <c r="R155" s="109"/>
      <c r="S155" s="31">
        <f>IF(M155=0,0, WORKDAY.INTL( WORKDAY.INTL(M155,N155+(O155*P155),7,List!$M$3:$M$100),List!$K$4,7,List!$M$3:$M$100))</f>
        <v>0</v>
      </c>
      <c r="T155" s="110"/>
      <c r="U155" s="110">
        <f>2</f>
        <v>2</v>
      </c>
      <c r="V155" s="110">
        <f>10</f>
        <v>10</v>
      </c>
      <c r="W155" s="110"/>
      <c r="X155" s="109"/>
      <c r="Y155" s="35">
        <f>IF(S155=0,0,WORKDAY.INTL(S155,T155+(U155*V155),7,List!$M$3:$M$100))</f>
        <v>0</v>
      </c>
      <c r="Z155" s="110"/>
      <c r="AA155" s="110">
        <f>2</f>
        <v>2</v>
      </c>
      <c r="AB155" s="110">
        <f>10</f>
        <v>10</v>
      </c>
      <c r="AC155" s="109"/>
      <c r="AD155" s="109"/>
      <c r="AE155" s="109"/>
      <c r="AF155" s="111"/>
      <c r="AG15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6" spans="4:35" x14ac:dyDescent="0.2">
      <c r="D156" s="104"/>
      <c r="E156" s="103"/>
      <c r="F156" s="105"/>
      <c r="G156" s="103"/>
      <c r="H156" s="103"/>
      <c r="I156" s="106">
        <f>IF(الجدول1[[#This Row],[Signing Contract Date]]=0,0,WORKDAY.INTL(الجدول1[[#This Row],[Signing Contract Date]],List!$J$4,7,List!$M$3:$M$100))</f>
        <v>0</v>
      </c>
      <c r="J156" s="107">
        <f>IF(Z156=0,0,WORKDAY.INTL(Y156,Z156+(AA156*AB156),7,List!$M$3:$M$100))</f>
        <v>0</v>
      </c>
      <c r="K156" s="108"/>
      <c r="L156" s="109"/>
      <c r="M156" s="106">
        <f>الجدول1[[#This Row],[Project Start Date | Contract]]</f>
        <v>0</v>
      </c>
      <c r="N156" s="110"/>
      <c r="O156" s="110"/>
      <c r="P156" s="110"/>
      <c r="Q156" s="110"/>
      <c r="R156" s="109"/>
      <c r="S156" s="31">
        <f>IF(M156=0,0, WORKDAY.INTL( WORKDAY.INTL(M156,N156+(O156*P156),7,List!$M$3:$M$100),List!$K$4,7,List!$M$3:$M$100))</f>
        <v>0</v>
      </c>
      <c r="T156" s="110"/>
      <c r="U156" s="110">
        <f>2</f>
        <v>2</v>
      </c>
      <c r="V156" s="110">
        <f>10</f>
        <v>10</v>
      </c>
      <c r="W156" s="110"/>
      <c r="X156" s="109"/>
      <c r="Y156" s="35">
        <f>IF(S156=0,0,WORKDAY.INTL(S156,T156+(U156*V156),7,List!$M$3:$M$100))</f>
        <v>0</v>
      </c>
      <c r="Z156" s="110"/>
      <c r="AA156" s="110">
        <f>2</f>
        <v>2</v>
      </c>
      <c r="AB156" s="110">
        <f>10</f>
        <v>10</v>
      </c>
      <c r="AC156" s="109"/>
      <c r="AD156" s="109"/>
      <c r="AE156" s="109"/>
      <c r="AF156" s="111"/>
      <c r="AG15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7" spans="4:35" x14ac:dyDescent="0.2">
      <c r="D157" s="104"/>
      <c r="E157" s="103"/>
      <c r="F157" s="105"/>
      <c r="G157" s="103"/>
      <c r="H157" s="103"/>
      <c r="I157" s="106">
        <f>IF(الجدول1[[#This Row],[Signing Contract Date]]=0,0,WORKDAY.INTL(الجدول1[[#This Row],[Signing Contract Date]],List!$J$4,7,List!$M$3:$M$100))</f>
        <v>0</v>
      </c>
      <c r="J157" s="107">
        <f>IF(Z157=0,0,WORKDAY.INTL(Y157,Z157+(AA157*AB157),7,List!$M$3:$M$100))</f>
        <v>0</v>
      </c>
      <c r="K157" s="108"/>
      <c r="L157" s="109"/>
      <c r="M157" s="106">
        <f>الجدول1[[#This Row],[Project Start Date | Contract]]</f>
        <v>0</v>
      </c>
      <c r="N157" s="110"/>
      <c r="O157" s="110"/>
      <c r="P157" s="110"/>
      <c r="Q157" s="110"/>
      <c r="R157" s="109"/>
      <c r="S157" s="31">
        <f>IF(M157=0,0, WORKDAY.INTL( WORKDAY.INTL(M157,N157+(O157*P157),7,List!$M$3:$M$100),List!$K$4,7,List!$M$3:$M$100))</f>
        <v>0</v>
      </c>
      <c r="T157" s="110"/>
      <c r="U157" s="110">
        <f>2</f>
        <v>2</v>
      </c>
      <c r="V157" s="110">
        <f>10</f>
        <v>10</v>
      </c>
      <c r="W157" s="110"/>
      <c r="X157" s="109"/>
      <c r="Y157" s="35">
        <f>IF(S157=0,0,WORKDAY.INTL(S157,T157+(U157*V157),7,List!$M$3:$M$100))</f>
        <v>0</v>
      </c>
      <c r="Z157" s="110"/>
      <c r="AA157" s="110">
        <f>2</f>
        <v>2</v>
      </c>
      <c r="AB157" s="110">
        <f>10</f>
        <v>10</v>
      </c>
      <c r="AC157" s="109"/>
      <c r="AD157" s="109"/>
      <c r="AE157" s="109"/>
      <c r="AF157" s="111"/>
      <c r="AG15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8" spans="4:35" x14ac:dyDescent="0.2">
      <c r="D158" s="104"/>
      <c r="E158" s="103"/>
      <c r="F158" s="105"/>
      <c r="G158" s="103"/>
      <c r="H158" s="103"/>
      <c r="I158" s="106">
        <f>IF(الجدول1[[#This Row],[Signing Contract Date]]=0,0,WORKDAY.INTL(الجدول1[[#This Row],[Signing Contract Date]],List!$J$4,7,List!$M$3:$M$100))</f>
        <v>0</v>
      </c>
      <c r="J158" s="107">
        <f>IF(Z158=0,0,WORKDAY.INTL(Y158,Z158+(AA158*AB158),7,List!$M$3:$M$100))</f>
        <v>0</v>
      </c>
      <c r="K158" s="108"/>
      <c r="L158" s="109"/>
      <c r="M158" s="106">
        <f>الجدول1[[#This Row],[Project Start Date | Contract]]</f>
        <v>0</v>
      </c>
      <c r="N158" s="110"/>
      <c r="O158" s="110"/>
      <c r="P158" s="110"/>
      <c r="Q158" s="110"/>
      <c r="R158" s="109"/>
      <c r="S158" s="31">
        <f>IF(M158=0,0, WORKDAY.INTL( WORKDAY.INTL(M158,N158+(O158*P158),7,List!$M$3:$M$100),List!$K$4,7,List!$M$3:$M$100))</f>
        <v>0</v>
      </c>
      <c r="T158" s="110"/>
      <c r="U158" s="110">
        <f>2</f>
        <v>2</v>
      </c>
      <c r="V158" s="110">
        <f>10</f>
        <v>10</v>
      </c>
      <c r="W158" s="110"/>
      <c r="X158" s="109"/>
      <c r="Y158" s="35">
        <f>IF(S158=0,0,WORKDAY.INTL(S158,T158+(U158*V158),7,List!$M$3:$M$100))</f>
        <v>0</v>
      </c>
      <c r="Z158" s="110"/>
      <c r="AA158" s="110">
        <f>2</f>
        <v>2</v>
      </c>
      <c r="AB158" s="110">
        <f>10</f>
        <v>10</v>
      </c>
      <c r="AC158" s="109"/>
      <c r="AD158" s="109"/>
      <c r="AE158" s="109"/>
      <c r="AF158" s="111"/>
      <c r="AG15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59" spans="4:35" x14ac:dyDescent="0.2">
      <c r="D159" s="104"/>
      <c r="E159" s="103"/>
      <c r="F159" s="105"/>
      <c r="G159" s="103"/>
      <c r="H159" s="103"/>
      <c r="I159" s="106">
        <f>IF(الجدول1[[#This Row],[Signing Contract Date]]=0,0,WORKDAY.INTL(الجدول1[[#This Row],[Signing Contract Date]],List!$J$4,7,List!$M$3:$M$100))</f>
        <v>0</v>
      </c>
      <c r="J159" s="107">
        <f>IF(Z159=0,0,WORKDAY.INTL(Y159,Z159+(AA159*AB159),7,List!$M$3:$M$100))</f>
        <v>0</v>
      </c>
      <c r="K159" s="108"/>
      <c r="L159" s="109"/>
      <c r="M159" s="106">
        <f>الجدول1[[#This Row],[Project Start Date | Contract]]</f>
        <v>0</v>
      </c>
      <c r="N159" s="110"/>
      <c r="O159" s="110"/>
      <c r="P159" s="110"/>
      <c r="Q159" s="110"/>
      <c r="R159" s="109"/>
      <c r="S159" s="31">
        <f>IF(M159=0,0, WORKDAY.INTL( WORKDAY.INTL(M159,N159+(O159*P159),7,List!$M$3:$M$100),List!$K$4,7,List!$M$3:$M$100))</f>
        <v>0</v>
      </c>
      <c r="T159" s="110"/>
      <c r="U159" s="110">
        <f>2</f>
        <v>2</v>
      </c>
      <c r="V159" s="110">
        <f>10</f>
        <v>10</v>
      </c>
      <c r="W159" s="110"/>
      <c r="X159" s="109"/>
      <c r="Y159" s="35">
        <f>IF(S159=0,0,WORKDAY.INTL(S159,T159+(U159*V159),7,List!$M$3:$M$100))</f>
        <v>0</v>
      </c>
      <c r="Z159" s="110"/>
      <c r="AA159" s="110">
        <f>2</f>
        <v>2</v>
      </c>
      <c r="AB159" s="110">
        <f>10</f>
        <v>10</v>
      </c>
      <c r="AC159" s="109"/>
      <c r="AD159" s="109"/>
      <c r="AE159" s="109"/>
      <c r="AF159" s="111"/>
      <c r="AG15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5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5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0" spans="4:35" x14ac:dyDescent="0.2">
      <c r="D160" s="104"/>
      <c r="E160" s="103"/>
      <c r="F160" s="105"/>
      <c r="G160" s="103"/>
      <c r="H160" s="103"/>
      <c r="I160" s="106">
        <f>IF(الجدول1[[#This Row],[Signing Contract Date]]=0,0,WORKDAY.INTL(الجدول1[[#This Row],[Signing Contract Date]],List!$J$4,7,List!$M$3:$M$100))</f>
        <v>0</v>
      </c>
      <c r="J160" s="107">
        <f>IF(Z160=0,0,WORKDAY.INTL(Y160,Z160+(AA160*AB160),7,List!$M$3:$M$100))</f>
        <v>0</v>
      </c>
      <c r="K160" s="108"/>
      <c r="L160" s="109"/>
      <c r="M160" s="106">
        <f>الجدول1[[#This Row],[Project Start Date | Contract]]</f>
        <v>0</v>
      </c>
      <c r="N160" s="110"/>
      <c r="O160" s="110"/>
      <c r="P160" s="110"/>
      <c r="Q160" s="110"/>
      <c r="R160" s="109"/>
      <c r="S160" s="31">
        <f>IF(M160=0,0, WORKDAY.INTL( WORKDAY.INTL(M160,N160+(O160*P160),7,List!$M$3:$M$100),List!$K$4,7,List!$M$3:$M$100))</f>
        <v>0</v>
      </c>
      <c r="T160" s="110"/>
      <c r="U160" s="110">
        <f>2</f>
        <v>2</v>
      </c>
      <c r="V160" s="110">
        <f>10</f>
        <v>10</v>
      </c>
      <c r="W160" s="110"/>
      <c r="X160" s="109"/>
      <c r="Y160" s="35">
        <f>IF(S160=0,0,WORKDAY.INTL(S160,T160+(U160*V160),7,List!$M$3:$M$100))</f>
        <v>0</v>
      </c>
      <c r="Z160" s="110"/>
      <c r="AA160" s="110">
        <f>2</f>
        <v>2</v>
      </c>
      <c r="AB160" s="110">
        <f>10</f>
        <v>10</v>
      </c>
      <c r="AC160" s="109"/>
      <c r="AD160" s="109"/>
      <c r="AE160" s="109"/>
      <c r="AF160" s="111"/>
      <c r="AG16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1" spans="4:35" x14ac:dyDescent="0.2">
      <c r="D161" s="104"/>
      <c r="E161" s="103"/>
      <c r="F161" s="105"/>
      <c r="G161" s="103"/>
      <c r="H161" s="103"/>
      <c r="I161" s="106">
        <f>IF(الجدول1[[#This Row],[Signing Contract Date]]=0,0,WORKDAY.INTL(الجدول1[[#This Row],[Signing Contract Date]],List!$J$4,7,List!$M$3:$M$100))</f>
        <v>0</v>
      </c>
      <c r="J161" s="107">
        <f>IF(Z161=0,0,WORKDAY.INTL(Y161,Z161+(AA161*AB161),7,List!$M$3:$M$100))</f>
        <v>0</v>
      </c>
      <c r="K161" s="108"/>
      <c r="L161" s="109"/>
      <c r="M161" s="106">
        <f>الجدول1[[#This Row],[Project Start Date | Contract]]</f>
        <v>0</v>
      </c>
      <c r="N161" s="110"/>
      <c r="O161" s="110"/>
      <c r="P161" s="110"/>
      <c r="Q161" s="110"/>
      <c r="R161" s="109"/>
      <c r="S161" s="31">
        <f>IF(M161=0,0, WORKDAY.INTL( WORKDAY.INTL(M161,N161+(O161*P161),7,List!$M$3:$M$100),List!$K$4,7,List!$M$3:$M$100))</f>
        <v>0</v>
      </c>
      <c r="T161" s="110"/>
      <c r="U161" s="110">
        <f>2</f>
        <v>2</v>
      </c>
      <c r="V161" s="110">
        <f>10</f>
        <v>10</v>
      </c>
      <c r="W161" s="110"/>
      <c r="X161" s="109"/>
      <c r="Y161" s="35">
        <f>IF(S161=0,0,WORKDAY.INTL(S161,T161+(U161*V161),7,List!$M$3:$M$100))</f>
        <v>0</v>
      </c>
      <c r="Z161" s="110"/>
      <c r="AA161" s="110">
        <f>2</f>
        <v>2</v>
      </c>
      <c r="AB161" s="110">
        <f>10</f>
        <v>10</v>
      </c>
      <c r="AC161" s="109"/>
      <c r="AD161" s="109"/>
      <c r="AE161" s="109"/>
      <c r="AF161" s="111"/>
      <c r="AG16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2" spans="4:35" x14ac:dyDescent="0.2">
      <c r="D162" s="104"/>
      <c r="E162" s="103"/>
      <c r="F162" s="105"/>
      <c r="G162" s="103"/>
      <c r="H162" s="103"/>
      <c r="I162" s="106">
        <f>IF(الجدول1[[#This Row],[Signing Contract Date]]=0,0,WORKDAY.INTL(الجدول1[[#This Row],[Signing Contract Date]],List!$J$4,7,List!$M$3:$M$100))</f>
        <v>0</v>
      </c>
      <c r="J162" s="107">
        <f>IF(Z162=0,0,WORKDAY.INTL(Y162,Z162+(AA162*AB162),7,List!$M$3:$M$100))</f>
        <v>0</v>
      </c>
      <c r="K162" s="108"/>
      <c r="L162" s="109"/>
      <c r="M162" s="106">
        <f>الجدول1[[#This Row],[Project Start Date | Contract]]</f>
        <v>0</v>
      </c>
      <c r="N162" s="110"/>
      <c r="O162" s="110"/>
      <c r="P162" s="110"/>
      <c r="Q162" s="110"/>
      <c r="R162" s="109"/>
      <c r="S162" s="31">
        <f>IF(M162=0,0, WORKDAY.INTL( WORKDAY.INTL(M162,N162+(O162*P162),7,List!$M$3:$M$100),List!$K$4,7,List!$M$3:$M$100))</f>
        <v>0</v>
      </c>
      <c r="T162" s="110"/>
      <c r="U162" s="110">
        <f>2</f>
        <v>2</v>
      </c>
      <c r="V162" s="110">
        <f>10</f>
        <v>10</v>
      </c>
      <c r="W162" s="110"/>
      <c r="X162" s="109"/>
      <c r="Y162" s="35">
        <f>IF(S162=0,0,WORKDAY.INTL(S162,T162+(U162*V162),7,List!$M$3:$M$100))</f>
        <v>0</v>
      </c>
      <c r="Z162" s="110"/>
      <c r="AA162" s="110">
        <f>2</f>
        <v>2</v>
      </c>
      <c r="AB162" s="110">
        <f>10</f>
        <v>10</v>
      </c>
      <c r="AC162" s="109"/>
      <c r="AD162" s="109"/>
      <c r="AE162" s="109"/>
      <c r="AF162" s="111"/>
      <c r="AG16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3" spans="4:35" x14ac:dyDescent="0.2">
      <c r="D163" s="104"/>
      <c r="E163" s="103"/>
      <c r="F163" s="105"/>
      <c r="G163" s="103"/>
      <c r="H163" s="103"/>
      <c r="I163" s="106">
        <f>IF(الجدول1[[#This Row],[Signing Contract Date]]=0,0,WORKDAY.INTL(الجدول1[[#This Row],[Signing Contract Date]],List!$J$4,7,List!$M$3:$M$100))</f>
        <v>0</v>
      </c>
      <c r="J163" s="107">
        <f>IF(Z163=0,0,WORKDAY.INTL(Y163,Z163+(AA163*AB163),7,List!$M$3:$M$100))</f>
        <v>0</v>
      </c>
      <c r="K163" s="108"/>
      <c r="L163" s="109"/>
      <c r="M163" s="106">
        <f>الجدول1[[#This Row],[Project Start Date | Contract]]</f>
        <v>0</v>
      </c>
      <c r="N163" s="110"/>
      <c r="O163" s="110"/>
      <c r="P163" s="110"/>
      <c r="Q163" s="110"/>
      <c r="R163" s="109"/>
      <c r="S163" s="31">
        <f>IF(M163=0,0, WORKDAY.INTL( WORKDAY.INTL(M163,N163+(O163*P163),7,List!$M$3:$M$100),List!$K$4,7,List!$M$3:$M$100))</f>
        <v>0</v>
      </c>
      <c r="T163" s="110"/>
      <c r="U163" s="110">
        <f>2</f>
        <v>2</v>
      </c>
      <c r="V163" s="110">
        <f>10</f>
        <v>10</v>
      </c>
      <c r="W163" s="110"/>
      <c r="X163" s="109"/>
      <c r="Y163" s="35">
        <f>IF(S163=0,0,WORKDAY.INTL(S163,T163+(U163*V163),7,List!$M$3:$M$100))</f>
        <v>0</v>
      </c>
      <c r="Z163" s="110"/>
      <c r="AA163" s="110">
        <f>2</f>
        <v>2</v>
      </c>
      <c r="AB163" s="110">
        <f>10</f>
        <v>10</v>
      </c>
      <c r="AC163" s="109"/>
      <c r="AD163" s="109"/>
      <c r="AE163" s="109"/>
      <c r="AF163" s="111"/>
      <c r="AG16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4" spans="4:35" x14ac:dyDescent="0.2">
      <c r="D164" s="104"/>
      <c r="E164" s="103"/>
      <c r="F164" s="105"/>
      <c r="G164" s="103"/>
      <c r="H164" s="103"/>
      <c r="I164" s="106">
        <f>IF(الجدول1[[#This Row],[Signing Contract Date]]=0,0,WORKDAY.INTL(الجدول1[[#This Row],[Signing Contract Date]],List!$J$4,7,List!$M$3:$M$100))</f>
        <v>0</v>
      </c>
      <c r="J164" s="107">
        <f>IF(Z164=0,0,WORKDAY.INTL(Y164,Z164+(AA164*AB164),7,List!$M$3:$M$100))</f>
        <v>0</v>
      </c>
      <c r="K164" s="108"/>
      <c r="L164" s="109"/>
      <c r="M164" s="106">
        <f>الجدول1[[#This Row],[Project Start Date | Contract]]</f>
        <v>0</v>
      </c>
      <c r="N164" s="110"/>
      <c r="O164" s="110"/>
      <c r="P164" s="110"/>
      <c r="Q164" s="110"/>
      <c r="R164" s="109"/>
      <c r="S164" s="31">
        <f>IF(M164=0,0, WORKDAY.INTL( WORKDAY.INTL(M164,N164+(O164*P164),7,List!$M$3:$M$100),List!$K$4,7,List!$M$3:$M$100))</f>
        <v>0</v>
      </c>
      <c r="T164" s="110"/>
      <c r="U164" s="110">
        <f>2</f>
        <v>2</v>
      </c>
      <c r="V164" s="110">
        <f>10</f>
        <v>10</v>
      </c>
      <c r="W164" s="110"/>
      <c r="X164" s="109"/>
      <c r="Y164" s="35">
        <f>IF(S164=0,0,WORKDAY.INTL(S164,T164+(U164*V164),7,List!$M$3:$M$100))</f>
        <v>0</v>
      </c>
      <c r="Z164" s="110"/>
      <c r="AA164" s="110">
        <f>2</f>
        <v>2</v>
      </c>
      <c r="AB164" s="110">
        <f>10</f>
        <v>10</v>
      </c>
      <c r="AC164" s="109"/>
      <c r="AD164" s="109"/>
      <c r="AE164" s="109"/>
      <c r="AF164" s="111"/>
      <c r="AG16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5" spans="4:35" x14ac:dyDescent="0.2">
      <c r="D165" s="104"/>
      <c r="E165" s="103"/>
      <c r="F165" s="105"/>
      <c r="G165" s="103"/>
      <c r="H165" s="103"/>
      <c r="I165" s="106">
        <f>IF(الجدول1[[#This Row],[Signing Contract Date]]=0,0,WORKDAY.INTL(الجدول1[[#This Row],[Signing Contract Date]],List!$J$4,7,List!$M$3:$M$100))</f>
        <v>0</v>
      </c>
      <c r="J165" s="107">
        <f>IF(Z165=0,0,WORKDAY.INTL(Y165,Z165+(AA165*AB165),7,List!$M$3:$M$100))</f>
        <v>0</v>
      </c>
      <c r="K165" s="108"/>
      <c r="L165" s="109"/>
      <c r="M165" s="106">
        <f>الجدول1[[#This Row],[Project Start Date | Contract]]</f>
        <v>0</v>
      </c>
      <c r="N165" s="110"/>
      <c r="O165" s="110"/>
      <c r="P165" s="110"/>
      <c r="Q165" s="110"/>
      <c r="R165" s="109"/>
      <c r="S165" s="31">
        <f>IF(M165=0,0, WORKDAY.INTL( WORKDAY.INTL(M165,N165+(O165*P165),7,List!$M$3:$M$100),List!$K$4,7,List!$M$3:$M$100))</f>
        <v>0</v>
      </c>
      <c r="T165" s="110"/>
      <c r="U165" s="110">
        <f>2</f>
        <v>2</v>
      </c>
      <c r="V165" s="110">
        <f>10</f>
        <v>10</v>
      </c>
      <c r="W165" s="110"/>
      <c r="X165" s="109"/>
      <c r="Y165" s="35">
        <f>IF(S165=0,0,WORKDAY.INTL(S165,T165+(U165*V165),7,List!$M$3:$M$100))</f>
        <v>0</v>
      </c>
      <c r="Z165" s="110"/>
      <c r="AA165" s="110">
        <f>2</f>
        <v>2</v>
      </c>
      <c r="AB165" s="110">
        <f>10</f>
        <v>10</v>
      </c>
      <c r="AC165" s="109"/>
      <c r="AD165" s="109"/>
      <c r="AE165" s="109"/>
      <c r="AF165" s="111"/>
      <c r="AG16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6" spans="4:35" x14ac:dyDescent="0.2">
      <c r="D166" s="104"/>
      <c r="E166" s="103"/>
      <c r="F166" s="105"/>
      <c r="G166" s="103"/>
      <c r="H166" s="103"/>
      <c r="I166" s="106">
        <f>IF(الجدول1[[#This Row],[Signing Contract Date]]=0,0,WORKDAY.INTL(الجدول1[[#This Row],[Signing Contract Date]],List!$J$4,7,List!$M$3:$M$100))</f>
        <v>0</v>
      </c>
      <c r="J166" s="107">
        <f>IF(Z166=0,0,WORKDAY.INTL(Y166,Z166+(AA166*AB166),7,List!$M$3:$M$100))</f>
        <v>0</v>
      </c>
      <c r="K166" s="108"/>
      <c r="L166" s="109"/>
      <c r="M166" s="106">
        <f>الجدول1[[#This Row],[Project Start Date | Contract]]</f>
        <v>0</v>
      </c>
      <c r="N166" s="110"/>
      <c r="O166" s="110"/>
      <c r="P166" s="110"/>
      <c r="Q166" s="110"/>
      <c r="R166" s="109"/>
      <c r="S166" s="31">
        <f>IF(M166=0,0, WORKDAY.INTL( WORKDAY.INTL(M166,N166+(O166*P166),7,List!$M$3:$M$100),List!$K$4,7,List!$M$3:$M$100))</f>
        <v>0</v>
      </c>
      <c r="T166" s="110"/>
      <c r="U166" s="110">
        <f>2</f>
        <v>2</v>
      </c>
      <c r="V166" s="110">
        <f>10</f>
        <v>10</v>
      </c>
      <c r="W166" s="110"/>
      <c r="X166" s="109"/>
      <c r="Y166" s="35">
        <f>IF(S166=0,0,WORKDAY.INTL(S166,T166+(U166*V166),7,List!$M$3:$M$100))</f>
        <v>0</v>
      </c>
      <c r="Z166" s="110"/>
      <c r="AA166" s="110">
        <f>2</f>
        <v>2</v>
      </c>
      <c r="AB166" s="110">
        <f>10</f>
        <v>10</v>
      </c>
      <c r="AC166" s="109"/>
      <c r="AD166" s="109"/>
      <c r="AE166" s="109"/>
      <c r="AF166" s="111"/>
      <c r="AG16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7" spans="4:35" x14ac:dyDescent="0.2">
      <c r="D167" s="104"/>
      <c r="E167" s="103"/>
      <c r="F167" s="105"/>
      <c r="G167" s="103"/>
      <c r="H167" s="103"/>
      <c r="I167" s="106">
        <f>IF(الجدول1[[#This Row],[Signing Contract Date]]=0,0,WORKDAY.INTL(الجدول1[[#This Row],[Signing Contract Date]],List!$J$4,7,List!$M$3:$M$100))</f>
        <v>0</v>
      </c>
      <c r="J167" s="107">
        <f>IF(Z167=0,0,WORKDAY.INTL(Y167,Z167+(AA167*AB167),7,List!$M$3:$M$100))</f>
        <v>0</v>
      </c>
      <c r="K167" s="108"/>
      <c r="L167" s="109"/>
      <c r="M167" s="106">
        <f>الجدول1[[#This Row],[Project Start Date | Contract]]</f>
        <v>0</v>
      </c>
      <c r="N167" s="110"/>
      <c r="O167" s="110"/>
      <c r="P167" s="110"/>
      <c r="Q167" s="110"/>
      <c r="R167" s="109"/>
      <c r="S167" s="31">
        <f>IF(M167=0,0, WORKDAY.INTL( WORKDAY.INTL(M167,N167+(O167*P167),7,List!$M$3:$M$100),List!$K$4,7,List!$M$3:$M$100))</f>
        <v>0</v>
      </c>
      <c r="T167" s="110"/>
      <c r="U167" s="110">
        <f>2</f>
        <v>2</v>
      </c>
      <c r="V167" s="110">
        <f>10</f>
        <v>10</v>
      </c>
      <c r="W167" s="110"/>
      <c r="X167" s="109"/>
      <c r="Y167" s="35">
        <f>IF(S167=0,0,WORKDAY.INTL(S167,T167+(U167*V167),7,List!$M$3:$M$100))</f>
        <v>0</v>
      </c>
      <c r="Z167" s="110"/>
      <c r="AA167" s="110">
        <f>2</f>
        <v>2</v>
      </c>
      <c r="AB167" s="110">
        <f>10</f>
        <v>10</v>
      </c>
      <c r="AC167" s="109"/>
      <c r="AD167" s="109"/>
      <c r="AE167" s="109"/>
      <c r="AF167" s="111"/>
      <c r="AG16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8" spans="4:35" x14ac:dyDescent="0.2">
      <c r="D168" s="104"/>
      <c r="E168" s="103"/>
      <c r="F168" s="105"/>
      <c r="G168" s="103"/>
      <c r="H168" s="103"/>
      <c r="I168" s="106">
        <f>IF(الجدول1[[#This Row],[Signing Contract Date]]=0,0,WORKDAY.INTL(الجدول1[[#This Row],[Signing Contract Date]],List!$J$4,7,List!$M$3:$M$100))</f>
        <v>0</v>
      </c>
      <c r="J168" s="107">
        <f>IF(Z168=0,0,WORKDAY.INTL(Y168,Z168+(AA168*AB168),7,List!$M$3:$M$100))</f>
        <v>0</v>
      </c>
      <c r="K168" s="108"/>
      <c r="L168" s="109"/>
      <c r="M168" s="106">
        <f>الجدول1[[#This Row],[Project Start Date | Contract]]</f>
        <v>0</v>
      </c>
      <c r="N168" s="110"/>
      <c r="O168" s="110"/>
      <c r="P168" s="110"/>
      <c r="Q168" s="110"/>
      <c r="R168" s="109"/>
      <c r="S168" s="31">
        <f>IF(M168=0,0, WORKDAY.INTL( WORKDAY.INTL(M168,N168+(O168*P168),7,List!$M$3:$M$100),List!$K$4,7,List!$M$3:$M$100))</f>
        <v>0</v>
      </c>
      <c r="T168" s="110"/>
      <c r="U168" s="110">
        <f>2</f>
        <v>2</v>
      </c>
      <c r="V168" s="110">
        <f>10</f>
        <v>10</v>
      </c>
      <c r="W168" s="110"/>
      <c r="X168" s="109"/>
      <c r="Y168" s="35">
        <f>IF(S168=0,0,WORKDAY.INTL(S168,T168+(U168*V168),7,List!$M$3:$M$100))</f>
        <v>0</v>
      </c>
      <c r="Z168" s="110"/>
      <c r="AA168" s="110">
        <f>2</f>
        <v>2</v>
      </c>
      <c r="AB168" s="110">
        <f>10</f>
        <v>10</v>
      </c>
      <c r="AC168" s="109"/>
      <c r="AD168" s="109"/>
      <c r="AE168" s="109"/>
      <c r="AF168" s="111"/>
      <c r="AG16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69" spans="4:35" x14ac:dyDescent="0.2">
      <c r="D169" s="104"/>
      <c r="E169" s="103"/>
      <c r="F169" s="105"/>
      <c r="G169" s="103"/>
      <c r="H169" s="103"/>
      <c r="I169" s="106">
        <f>IF(الجدول1[[#This Row],[Signing Contract Date]]=0,0,WORKDAY.INTL(الجدول1[[#This Row],[Signing Contract Date]],List!$J$4,7,List!$M$3:$M$100))</f>
        <v>0</v>
      </c>
      <c r="J169" s="107">
        <f>IF(Z169=0,0,WORKDAY.INTL(Y169,Z169+(AA169*AB169),7,List!$M$3:$M$100))</f>
        <v>0</v>
      </c>
      <c r="K169" s="108"/>
      <c r="L169" s="109"/>
      <c r="M169" s="106">
        <f>الجدول1[[#This Row],[Project Start Date | Contract]]</f>
        <v>0</v>
      </c>
      <c r="N169" s="110"/>
      <c r="O169" s="110"/>
      <c r="P169" s="110"/>
      <c r="Q169" s="110"/>
      <c r="R169" s="109"/>
      <c r="S169" s="31">
        <f>IF(M169=0,0, WORKDAY.INTL( WORKDAY.INTL(M169,N169+(O169*P169),7,List!$M$3:$M$100),List!$K$4,7,List!$M$3:$M$100))</f>
        <v>0</v>
      </c>
      <c r="T169" s="110"/>
      <c r="U169" s="110">
        <f>2</f>
        <v>2</v>
      </c>
      <c r="V169" s="110">
        <f>10</f>
        <v>10</v>
      </c>
      <c r="W169" s="110"/>
      <c r="X169" s="109"/>
      <c r="Y169" s="35">
        <f>IF(S169=0,0,WORKDAY.INTL(S169,T169+(U169*V169),7,List!$M$3:$M$100))</f>
        <v>0</v>
      </c>
      <c r="Z169" s="110"/>
      <c r="AA169" s="110">
        <f>2</f>
        <v>2</v>
      </c>
      <c r="AB169" s="110">
        <f>10</f>
        <v>10</v>
      </c>
      <c r="AC169" s="109"/>
      <c r="AD169" s="109"/>
      <c r="AE169" s="109"/>
      <c r="AF169" s="111"/>
      <c r="AG16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6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6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0" spans="4:35" x14ac:dyDescent="0.2">
      <c r="D170" s="104"/>
      <c r="E170" s="103"/>
      <c r="F170" s="105"/>
      <c r="G170" s="103"/>
      <c r="H170" s="103"/>
      <c r="I170" s="106">
        <f>IF(الجدول1[[#This Row],[Signing Contract Date]]=0,0,WORKDAY.INTL(الجدول1[[#This Row],[Signing Contract Date]],List!$J$4,7,List!$M$3:$M$100))</f>
        <v>0</v>
      </c>
      <c r="J170" s="107">
        <f>IF(Z170=0,0,WORKDAY.INTL(Y170,Z170+(AA170*AB170),7,List!$M$3:$M$100))</f>
        <v>0</v>
      </c>
      <c r="K170" s="108"/>
      <c r="L170" s="109"/>
      <c r="M170" s="106">
        <f>الجدول1[[#This Row],[Project Start Date | Contract]]</f>
        <v>0</v>
      </c>
      <c r="N170" s="110"/>
      <c r="O170" s="110"/>
      <c r="P170" s="110"/>
      <c r="Q170" s="110"/>
      <c r="R170" s="109"/>
      <c r="S170" s="31">
        <f>IF(M170=0,0, WORKDAY.INTL( WORKDAY.INTL(M170,N170+(O170*P170),7,List!$M$3:$M$100),List!$K$4,7,List!$M$3:$M$100))</f>
        <v>0</v>
      </c>
      <c r="T170" s="110"/>
      <c r="U170" s="110">
        <f>2</f>
        <v>2</v>
      </c>
      <c r="V170" s="110">
        <f>10</f>
        <v>10</v>
      </c>
      <c r="W170" s="110"/>
      <c r="X170" s="109"/>
      <c r="Y170" s="35">
        <f>IF(S170=0,0,WORKDAY.INTL(S170,T170+(U170*V170),7,List!$M$3:$M$100))</f>
        <v>0</v>
      </c>
      <c r="Z170" s="110"/>
      <c r="AA170" s="110">
        <f>2</f>
        <v>2</v>
      </c>
      <c r="AB170" s="110">
        <f>10</f>
        <v>10</v>
      </c>
      <c r="AC170" s="109"/>
      <c r="AD170" s="109"/>
      <c r="AE170" s="109"/>
      <c r="AF170" s="111"/>
      <c r="AG17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1" spans="4:35" x14ac:dyDescent="0.2">
      <c r="D171" s="104"/>
      <c r="E171" s="103"/>
      <c r="F171" s="105"/>
      <c r="G171" s="103"/>
      <c r="H171" s="103"/>
      <c r="I171" s="106">
        <f>IF(الجدول1[[#This Row],[Signing Contract Date]]=0,0,WORKDAY.INTL(الجدول1[[#This Row],[Signing Contract Date]],List!$J$4,7,List!$M$3:$M$100))</f>
        <v>0</v>
      </c>
      <c r="J171" s="107">
        <f>IF(Z171=0,0,WORKDAY.INTL(Y171,Z171+(AA171*AB171),7,List!$M$3:$M$100))</f>
        <v>0</v>
      </c>
      <c r="K171" s="108"/>
      <c r="L171" s="109"/>
      <c r="M171" s="106">
        <f>الجدول1[[#This Row],[Project Start Date | Contract]]</f>
        <v>0</v>
      </c>
      <c r="N171" s="110"/>
      <c r="O171" s="110"/>
      <c r="P171" s="110"/>
      <c r="Q171" s="110"/>
      <c r="R171" s="109"/>
      <c r="S171" s="31">
        <f>IF(M171=0,0, WORKDAY.INTL( WORKDAY.INTL(M171,N171+(O171*P171),7,List!$M$3:$M$100),List!$K$4,7,List!$M$3:$M$100))</f>
        <v>0</v>
      </c>
      <c r="T171" s="110"/>
      <c r="U171" s="110">
        <f>2</f>
        <v>2</v>
      </c>
      <c r="V171" s="110">
        <f>10</f>
        <v>10</v>
      </c>
      <c r="W171" s="110"/>
      <c r="X171" s="109"/>
      <c r="Y171" s="35">
        <f>IF(S171=0,0,WORKDAY.INTL(S171,T171+(U171*V171),7,List!$M$3:$M$100))</f>
        <v>0</v>
      </c>
      <c r="Z171" s="110"/>
      <c r="AA171" s="110">
        <f>2</f>
        <v>2</v>
      </c>
      <c r="AB171" s="110">
        <f>10</f>
        <v>10</v>
      </c>
      <c r="AC171" s="109"/>
      <c r="AD171" s="109"/>
      <c r="AE171" s="109"/>
      <c r="AF171" s="111"/>
      <c r="AG17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2" spans="4:35" x14ac:dyDescent="0.2">
      <c r="D172" s="104"/>
      <c r="E172" s="103"/>
      <c r="F172" s="105"/>
      <c r="G172" s="103"/>
      <c r="H172" s="103"/>
      <c r="I172" s="106">
        <f>IF(الجدول1[[#This Row],[Signing Contract Date]]=0,0,WORKDAY.INTL(الجدول1[[#This Row],[Signing Contract Date]],List!$J$4,7,List!$M$3:$M$100))</f>
        <v>0</v>
      </c>
      <c r="J172" s="107">
        <f>IF(Z172=0,0,WORKDAY.INTL(Y172,Z172+(AA172*AB172),7,List!$M$3:$M$100))</f>
        <v>0</v>
      </c>
      <c r="K172" s="108"/>
      <c r="L172" s="109"/>
      <c r="M172" s="106">
        <f>الجدول1[[#This Row],[Project Start Date | Contract]]</f>
        <v>0</v>
      </c>
      <c r="N172" s="110"/>
      <c r="O172" s="110"/>
      <c r="P172" s="110"/>
      <c r="Q172" s="110"/>
      <c r="R172" s="109"/>
      <c r="S172" s="31">
        <f>IF(M172=0,0, WORKDAY.INTL( WORKDAY.INTL(M172,N172+(O172*P172),7,List!$M$3:$M$100),List!$K$4,7,List!$M$3:$M$100))</f>
        <v>0</v>
      </c>
      <c r="T172" s="110"/>
      <c r="U172" s="110">
        <f>2</f>
        <v>2</v>
      </c>
      <c r="V172" s="110">
        <f>10</f>
        <v>10</v>
      </c>
      <c r="W172" s="110"/>
      <c r="X172" s="109"/>
      <c r="Y172" s="35">
        <f>IF(S172=0,0,WORKDAY.INTL(S172,T172+(U172*V172),7,List!$M$3:$M$100))</f>
        <v>0</v>
      </c>
      <c r="Z172" s="110"/>
      <c r="AA172" s="110">
        <f>2</f>
        <v>2</v>
      </c>
      <c r="AB172" s="110">
        <f>10</f>
        <v>10</v>
      </c>
      <c r="AC172" s="109"/>
      <c r="AD172" s="109"/>
      <c r="AE172" s="109"/>
      <c r="AF172" s="111"/>
      <c r="AG17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3" spans="4:35" x14ac:dyDescent="0.2">
      <c r="D173" s="104"/>
      <c r="E173" s="103"/>
      <c r="F173" s="105"/>
      <c r="G173" s="103"/>
      <c r="H173" s="103"/>
      <c r="I173" s="106">
        <f>IF(الجدول1[[#This Row],[Signing Contract Date]]=0,0,WORKDAY.INTL(الجدول1[[#This Row],[Signing Contract Date]],List!$J$4,7,List!$M$3:$M$100))</f>
        <v>0</v>
      </c>
      <c r="J173" s="107">
        <f>IF(Z173=0,0,WORKDAY.INTL(Y173,Z173+(AA173*AB173),7,List!$M$3:$M$100))</f>
        <v>0</v>
      </c>
      <c r="K173" s="108"/>
      <c r="L173" s="109"/>
      <c r="M173" s="106">
        <f>الجدول1[[#This Row],[Project Start Date | Contract]]</f>
        <v>0</v>
      </c>
      <c r="N173" s="110"/>
      <c r="O173" s="110"/>
      <c r="P173" s="110"/>
      <c r="Q173" s="110"/>
      <c r="R173" s="109"/>
      <c r="S173" s="31">
        <f>IF(M173=0,0, WORKDAY.INTL( WORKDAY.INTL(M173,N173+(O173*P173),7,List!$M$3:$M$100),List!$K$4,7,List!$M$3:$M$100))</f>
        <v>0</v>
      </c>
      <c r="T173" s="110"/>
      <c r="U173" s="110">
        <f>2</f>
        <v>2</v>
      </c>
      <c r="V173" s="110">
        <f>10</f>
        <v>10</v>
      </c>
      <c r="W173" s="110"/>
      <c r="X173" s="109"/>
      <c r="Y173" s="35">
        <f>IF(S173=0,0,WORKDAY.INTL(S173,T173+(U173*V173),7,List!$M$3:$M$100))</f>
        <v>0</v>
      </c>
      <c r="Z173" s="110"/>
      <c r="AA173" s="110">
        <f>2</f>
        <v>2</v>
      </c>
      <c r="AB173" s="110">
        <f>10</f>
        <v>10</v>
      </c>
      <c r="AC173" s="109"/>
      <c r="AD173" s="109"/>
      <c r="AE173" s="109"/>
      <c r="AF173" s="111"/>
      <c r="AG17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4" spans="4:35" x14ac:dyDescent="0.2">
      <c r="D174" s="104"/>
      <c r="E174" s="103"/>
      <c r="F174" s="105"/>
      <c r="G174" s="103"/>
      <c r="H174" s="103"/>
      <c r="I174" s="106">
        <f>IF(الجدول1[[#This Row],[Signing Contract Date]]=0,0,WORKDAY.INTL(الجدول1[[#This Row],[Signing Contract Date]],List!$J$4,7,List!$M$3:$M$100))</f>
        <v>0</v>
      </c>
      <c r="J174" s="107">
        <f>IF(Z174=0,0,WORKDAY.INTL(Y174,Z174+(AA174*AB174),7,List!$M$3:$M$100))</f>
        <v>0</v>
      </c>
      <c r="K174" s="108"/>
      <c r="L174" s="109"/>
      <c r="M174" s="106">
        <f>الجدول1[[#This Row],[Project Start Date | Contract]]</f>
        <v>0</v>
      </c>
      <c r="N174" s="110"/>
      <c r="O174" s="110"/>
      <c r="P174" s="110"/>
      <c r="Q174" s="110"/>
      <c r="R174" s="109"/>
      <c r="S174" s="31">
        <f>IF(M174=0,0, WORKDAY.INTL( WORKDAY.INTL(M174,N174+(O174*P174),7,List!$M$3:$M$100),List!$K$4,7,List!$M$3:$M$100))</f>
        <v>0</v>
      </c>
      <c r="T174" s="110"/>
      <c r="U174" s="110">
        <f>2</f>
        <v>2</v>
      </c>
      <c r="V174" s="110">
        <f>10</f>
        <v>10</v>
      </c>
      <c r="W174" s="110"/>
      <c r="X174" s="109"/>
      <c r="Y174" s="35">
        <f>IF(S174=0,0,WORKDAY.INTL(S174,T174+(U174*V174),7,List!$M$3:$M$100))</f>
        <v>0</v>
      </c>
      <c r="Z174" s="110"/>
      <c r="AA174" s="110">
        <f>2</f>
        <v>2</v>
      </c>
      <c r="AB174" s="110">
        <f>10</f>
        <v>10</v>
      </c>
      <c r="AC174" s="109"/>
      <c r="AD174" s="109"/>
      <c r="AE174" s="109"/>
      <c r="AF174" s="111"/>
      <c r="AG17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5" spans="4:35" x14ac:dyDescent="0.2">
      <c r="D175" s="104"/>
      <c r="E175" s="103"/>
      <c r="F175" s="105"/>
      <c r="G175" s="103"/>
      <c r="H175" s="103"/>
      <c r="I175" s="106">
        <f>IF(الجدول1[[#This Row],[Signing Contract Date]]=0,0,WORKDAY.INTL(الجدول1[[#This Row],[Signing Contract Date]],List!$J$4,7,List!$M$3:$M$100))</f>
        <v>0</v>
      </c>
      <c r="J175" s="107">
        <f>IF(Z175=0,0,WORKDAY.INTL(Y175,Z175+(AA175*AB175),7,List!$M$3:$M$100))</f>
        <v>0</v>
      </c>
      <c r="K175" s="108"/>
      <c r="L175" s="109"/>
      <c r="M175" s="106">
        <f>الجدول1[[#This Row],[Project Start Date | Contract]]</f>
        <v>0</v>
      </c>
      <c r="N175" s="110"/>
      <c r="O175" s="110"/>
      <c r="P175" s="110"/>
      <c r="Q175" s="110"/>
      <c r="R175" s="109"/>
      <c r="S175" s="31">
        <f>IF(M175=0,0, WORKDAY.INTL( WORKDAY.INTL(M175,N175+(O175*P175),7,List!$M$3:$M$100),List!$K$4,7,List!$M$3:$M$100))</f>
        <v>0</v>
      </c>
      <c r="T175" s="110"/>
      <c r="U175" s="110">
        <f>2</f>
        <v>2</v>
      </c>
      <c r="V175" s="110">
        <f>10</f>
        <v>10</v>
      </c>
      <c r="W175" s="110"/>
      <c r="X175" s="109"/>
      <c r="Y175" s="35">
        <f>IF(S175=0,0,WORKDAY.INTL(S175,T175+(U175*V175),7,List!$M$3:$M$100))</f>
        <v>0</v>
      </c>
      <c r="Z175" s="110"/>
      <c r="AA175" s="110">
        <f>2</f>
        <v>2</v>
      </c>
      <c r="AB175" s="110">
        <f>10</f>
        <v>10</v>
      </c>
      <c r="AC175" s="109"/>
      <c r="AD175" s="109"/>
      <c r="AE175" s="109"/>
      <c r="AF175" s="111"/>
      <c r="AG17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6" spans="4:35" x14ac:dyDescent="0.2">
      <c r="D176" s="104"/>
      <c r="E176" s="103"/>
      <c r="F176" s="105"/>
      <c r="G176" s="103"/>
      <c r="H176" s="103"/>
      <c r="I176" s="106">
        <f>IF(الجدول1[[#This Row],[Signing Contract Date]]=0,0,WORKDAY.INTL(الجدول1[[#This Row],[Signing Contract Date]],List!$J$4,7,List!$M$3:$M$100))</f>
        <v>0</v>
      </c>
      <c r="J176" s="107">
        <f>IF(Z176=0,0,WORKDAY.INTL(Y176,Z176+(AA176*AB176),7,List!$M$3:$M$100))</f>
        <v>0</v>
      </c>
      <c r="K176" s="108"/>
      <c r="L176" s="109"/>
      <c r="M176" s="106">
        <f>الجدول1[[#This Row],[Project Start Date | Contract]]</f>
        <v>0</v>
      </c>
      <c r="N176" s="110"/>
      <c r="O176" s="110"/>
      <c r="P176" s="110"/>
      <c r="Q176" s="110"/>
      <c r="R176" s="109"/>
      <c r="S176" s="31">
        <f>IF(M176=0,0, WORKDAY.INTL( WORKDAY.INTL(M176,N176+(O176*P176),7,List!$M$3:$M$100),List!$K$4,7,List!$M$3:$M$100))</f>
        <v>0</v>
      </c>
      <c r="T176" s="110"/>
      <c r="U176" s="110">
        <f>2</f>
        <v>2</v>
      </c>
      <c r="V176" s="110">
        <f>10</f>
        <v>10</v>
      </c>
      <c r="W176" s="110"/>
      <c r="X176" s="109"/>
      <c r="Y176" s="35">
        <f>IF(S176=0,0,WORKDAY.INTL(S176,T176+(U176*V176),7,List!$M$3:$M$100))</f>
        <v>0</v>
      </c>
      <c r="Z176" s="110"/>
      <c r="AA176" s="110">
        <f>2</f>
        <v>2</v>
      </c>
      <c r="AB176" s="110">
        <f>10</f>
        <v>10</v>
      </c>
      <c r="AC176" s="109"/>
      <c r="AD176" s="109"/>
      <c r="AE176" s="109"/>
      <c r="AF176" s="111"/>
      <c r="AG17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7" spans="4:35" x14ac:dyDescent="0.2">
      <c r="D177" s="104"/>
      <c r="E177" s="103"/>
      <c r="F177" s="105"/>
      <c r="G177" s="103"/>
      <c r="H177" s="103"/>
      <c r="I177" s="106">
        <f>IF(الجدول1[[#This Row],[Signing Contract Date]]=0,0,WORKDAY.INTL(الجدول1[[#This Row],[Signing Contract Date]],List!$J$4,7,List!$M$3:$M$100))</f>
        <v>0</v>
      </c>
      <c r="J177" s="107">
        <f>IF(Z177=0,0,WORKDAY.INTL(Y177,Z177+(AA177*AB177),7,List!$M$3:$M$100))</f>
        <v>0</v>
      </c>
      <c r="K177" s="108"/>
      <c r="L177" s="109"/>
      <c r="M177" s="106">
        <f>الجدول1[[#This Row],[Project Start Date | Contract]]</f>
        <v>0</v>
      </c>
      <c r="N177" s="110"/>
      <c r="O177" s="110"/>
      <c r="P177" s="110"/>
      <c r="Q177" s="110"/>
      <c r="R177" s="109"/>
      <c r="S177" s="31">
        <f>IF(M177=0,0, WORKDAY.INTL( WORKDAY.INTL(M177,N177+(O177*P177),7,List!$M$3:$M$100),List!$K$4,7,List!$M$3:$M$100))</f>
        <v>0</v>
      </c>
      <c r="T177" s="110"/>
      <c r="U177" s="110">
        <f>2</f>
        <v>2</v>
      </c>
      <c r="V177" s="110">
        <f>10</f>
        <v>10</v>
      </c>
      <c r="W177" s="110"/>
      <c r="X177" s="109"/>
      <c r="Y177" s="35">
        <f>IF(S177=0,0,WORKDAY.INTL(S177,T177+(U177*V177),7,List!$M$3:$M$100))</f>
        <v>0</v>
      </c>
      <c r="Z177" s="110"/>
      <c r="AA177" s="110">
        <f>2</f>
        <v>2</v>
      </c>
      <c r="AB177" s="110">
        <f>10</f>
        <v>10</v>
      </c>
      <c r="AC177" s="109"/>
      <c r="AD177" s="109"/>
      <c r="AE177" s="109"/>
      <c r="AF177" s="111"/>
      <c r="AG17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8" spans="4:35" x14ac:dyDescent="0.2">
      <c r="D178" s="104"/>
      <c r="E178" s="103"/>
      <c r="F178" s="105"/>
      <c r="G178" s="103"/>
      <c r="H178" s="103"/>
      <c r="I178" s="106">
        <f>IF(الجدول1[[#This Row],[Signing Contract Date]]=0,0,WORKDAY.INTL(الجدول1[[#This Row],[Signing Contract Date]],List!$J$4,7,List!$M$3:$M$100))</f>
        <v>0</v>
      </c>
      <c r="J178" s="107">
        <f>IF(Z178=0,0,WORKDAY.INTL(Y178,Z178+(AA178*AB178),7,List!$M$3:$M$100))</f>
        <v>0</v>
      </c>
      <c r="K178" s="108"/>
      <c r="L178" s="109"/>
      <c r="M178" s="106">
        <f>الجدول1[[#This Row],[Project Start Date | Contract]]</f>
        <v>0</v>
      </c>
      <c r="N178" s="110"/>
      <c r="O178" s="110"/>
      <c r="P178" s="110"/>
      <c r="Q178" s="110"/>
      <c r="R178" s="109"/>
      <c r="S178" s="31">
        <f>IF(M178=0,0, WORKDAY.INTL( WORKDAY.INTL(M178,N178+(O178*P178),7,List!$M$3:$M$100),List!$K$4,7,List!$M$3:$M$100))</f>
        <v>0</v>
      </c>
      <c r="T178" s="110"/>
      <c r="U178" s="110">
        <f>2</f>
        <v>2</v>
      </c>
      <c r="V178" s="110">
        <f>10</f>
        <v>10</v>
      </c>
      <c r="W178" s="110"/>
      <c r="X178" s="109"/>
      <c r="Y178" s="35">
        <f>IF(S178=0,0,WORKDAY.INTL(S178,T178+(U178*V178),7,List!$M$3:$M$100))</f>
        <v>0</v>
      </c>
      <c r="Z178" s="110"/>
      <c r="AA178" s="110">
        <f>2</f>
        <v>2</v>
      </c>
      <c r="AB178" s="110">
        <f>10</f>
        <v>10</v>
      </c>
      <c r="AC178" s="109"/>
      <c r="AD178" s="109"/>
      <c r="AE178" s="109"/>
      <c r="AF178" s="111"/>
      <c r="AG17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79" spans="4:35" x14ac:dyDescent="0.2">
      <c r="D179" s="104"/>
      <c r="E179" s="103"/>
      <c r="F179" s="105"/>
      <c r="G179" s="103"/>
      <c r="H179" s="103"/>
      <c r="I179" s="106">
        <f>IF(الجدول1[[#This Row],[Signing Contract Date]]=0,0,WORKDAY.INTL(الجدول1[[#This Row],[Signing Contract Date]],List!$J$4,7,List!$M$3:$M$100))</f>
        <v>0</v>
      </c>
      <c r="J179" s="107">
        <f>IF(Z179=0,0,WORKDAY.INTL(Y179,Z179+(AA179*AB179),7,List!$M$3:$M$100))</f>
        <v>0</v>
      </c>
      <c r="K179" s="108"/>
      <c r="L179" s="109"/>
      <c r="M179" s="106">
        <f>الجدول1[[#This Row],[Project Start Date | Contract]]</f>
        <v>0</v>
      </c>
      <c r="N179" s="110"/>
      <c r="O179" s="110"/>
      <c r="P179" s="110"/>
      <c r="Q179" s="110"/>
      <c r="R179" s="109"/>
      <c r="S179" s="31">
        <f>IF(M179=0,0, WORKDAY.INTL( WORKDAY.INTL(M179,N179+(O179*P179),7,List!$M$3:$M$100),List!$K$4,7,List!$M$3:$M$100))</f>
        <v>0</v>
      </c>
      <c r="T179" s="110"/>
      <c r="U179" s="110">
        <f>2</f>
        <v>2</v>
      </c>
      <c r="V179" s="110">
        <f>10</f>
        <v>10</v>
      </c>
      <c r="W179" s="110"/>
      <c r="X179" s="109"/>
      <c r="Y179" s="35">
        <f>IF(S179=0,0,WORKDAY.INTL(S179,T179+(U179*V179),7,List!$M$3:$M$100))</f>
        <v>0</v>
      </c>
      <c r="Z179" s="110"/>
      <c r="AA179" s="110">
        <f>2</f>
        <v>2</v>
      </c>
      <c r="AB179" s="110">
        <f>10</f>
        <v>10</v>
      </c>
      <c r="AC179" s="109"/>
      <c r="AD179" s="109"/>
      <c r="AE179" s="109"/>
      <c r="AF179" s="111"/>
      <c r="AG17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7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7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0" spans="4:35" x14ac:dyDescent="0.2">
      <c r="D180" s="104"/>
      <c r="E180" s="103"/>
      <c r="F180" s="105"/>
      <c r="G180" s="103"/>
      <c r="H180" s="103"/>
      <c r="I180" s="106">
        <f>IF(الجدول1[[#This Row],[Signing Contract Date]]=0,0,WORKDAY.INTL(الجدول1[[#This Row],[Signing Contract Date]],List!$J$4,7,List!$M$3:$M$100))</f>
        <v>0</v>
      </c>
      <c r="J180" s="107">
        <f>IF(Z180=0,0,WORKDAY.INTL(Y180,Z180+(AA180*AB180),7,List!$M$3:$M$100))</f>
        <v>0</v>
      </c>
      <c r="K180" s="108"/>
      <c r="L180" s="109"/>
      <c r="M180" s="106">
        <f>الجدول1[[#This Row],[Project Start Date | Contract]]</f>
        <v>0</v>
      </c>
      <c r="N180" s="110"/>
      <c r="O180" s="110"/>
      <c r="P180" s="110"/>
      <c r="Q180" s="110"/>
      <c r="R180" s="109"/>
      <c r="S180" s="31">
        <f>IF(M180=0,0, WORKDAY.INTL( WORKDAY.INTL(M180,N180+(O180*P180),7,List!$M$3:$M$100),List!$K$4,7,List!$M$3:$M$100))</f>
        <v>0</v>
      </c>
      <c r="T180" s="110"/>
      <c r="U180" s="110">
        <f>2</f>
        <v>2</v>
      </c>
      <c r="V180" s="110">
        <f>10</f>
        <v>10</v>
      </c>
      <c r="W180" s="110"/>
      <c r="X180" s="109"/>
      <c r="Y180" s="35">
        <f>IF(S180=0,0,WORKDAY.INTL(S180,T180+(U180*V180),7,List!$M$3:$M$100))</f>
        <v>0</v>
      </c>
      <c r="Z180" s="110"/>
      <c r="AA180" s="110">
        <f>2</f>
        <v>2</v>
      </c>
      <c r="AB180" s="110">
        <f>10</f>
        <v>10</v>
      </c>
      <c r="AC180" s="109"/>
      <c r="AD180" s="109"/>
      <c r="AE180" s="109"/>
      <c r="AF180" s="111"/>
      <c r="AG18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1" spans="4:35" x14ac:dyDescent="0.2">
      <c r="D181" s="104"/>
      <c r="E181" s="103"/>
      <c r="F181" s="105"/>
      <c r="G181" s="103"/>
      <c r="H181" s="103"/>
      <c r="I181" s="106">
        <f>IF(الجدول1[[#This Row],[Signing Contract Date]]=0,0,WORKDAY.INTL(الجدول1[[#This Row],[Signing Contract Date]],List!$J$4,7,List!$M$3:$M$100))</f>
        <v>0</v>
      </c>
      <c r="J181" s="107">
        <f>IF(Z181=0,0,WORKDAY.INTL(Y181,Z181+(AA181*AB181),7,List!$M$3:$M$100))</f>
        <v>0</v>
      </c>
      <c r="K181" s="108"/>
      <c r="L181" s="109"/>
      <c r="M181" s="106">
        <f>الجدول1[[#This Row],[Project Start Date | Contract]]</f>
        <v>0</v>
      </c>
      <c r="N181" s="110"/>
      <c r="O181" s="110"/>
      <c r="P181" s="110"/>
      <c r="Q181" s="110"/>
      <c r="R181" s="109"/>
      <c r="S181" s="31">
        <f>IF(M181=0,0, WORKDAY.INTL( WORKDAY.INTL(M181,N181+(O181*P181),7,List!$M$3:$M$100),List!$K$4,7,List!$M$3:$M$100))</f>
        <v>0</v>
      </c>
      <c r="T181" s="110"/>
      <c r="U181" s="110">
        <f>2</f>
        <v>2</v>
      </c>
      <c r="V181" s="110">
        <f>10</f>
        <v>10</v>
      </c>
      <c r="W181" s="110"/>
      <c r="X181" s="109"/>
      <c r="Y181" s="35">
        <f>IF(S181=0,0,WORKDAY.INTL(S181,T181+(U181*V181),7,List!$M$3:$M$100))</f>
        <v>0</v>
      </c>
      <c r="Z181" s="110"/>
      <c r="AA181" s="110">
        <f>2</f>
        <v>2</v>
      </c>
      <c r="AB181" s="110">
        <f>10</f>
        <v>10</v>
      </c>
      <c r="AC181" s="109"/>
      <c r="AD181" s="109"/>
      <c r="AE181" s="109"/>
      <c r="AF181" s="111"/>
      <c r="AG18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2" spans="4:35" x14ac:dyDescent="0.2">
      <c r="D182" s="104"/>
      <c r="E182" s="103"/>
      <c r="F182" s="105"/>
      <c r="G182" s="103"/>
      <c r="H182" s="103"/>
      <c r="I182" s="106">
        <f>IF(الجدول1[[#This Row],[Signing Contract Date]]=0,0,WORKDAY.INTL(الجدول1[[#This Row],[Signing Contract Date]],List!$J$4,7,List!$M$3:$M$100))</f>
        <v>0</v>
      </c>
      <c r="J182" s="107">
        <f>IF(Z182=0,0,WORKDAY.INTL(Y182,Z182+(AA182*AB182),7,List!$M$3:$M$100))</f>
        <v>0</v>
      </c>
      <c r="K182" s="108"/>
      <c r="L182" s="109"/>
      <c r="M182" s="106">
        <f>الجدول1[[#This Row],[Project Start Date | Contract]]</f>
        <v>0</v>
      </c>
      <c r="N182" s="110"/>
      <c r="O182" s="110"/>
      <c r="P182" s="110"/>
      <c r="Q182" s="110"/>
      <c r="R182" s="109"/>
      <c r="S182" s="31">
        <f>IF(M182=0,0, WORKDAY.INTL( WORKDAY.INTL(M182,N182+(O182*P182),7,List!$M$3:$M$100),List!$K$4,7,List!$M$3:$M$100))</f>
        <v>0</v>
      </c>
      <c r="T182" s="110"/>
      <c r="U182" s="110">
        <f>2</f>
        <v>2</v>
      </c>
      <c r="V182" s="110">
        <f>10</f>
        <v>10</v>
      </c>
      <c r="W182" s="110"/>
      <c r="X182" s="109"/>
      <c r="Y182" s="35">
        <f>IF(S182=0,0,WORKDAY.INTL(S182,T182+(U182*V182),7,List!$M$3:$M$100))</f>
        <v>0</v>
      </c>
      <c r="Z182" s="110"/>
      <c r="AA182" s="110">
        <f>2</f>
        <v>2</v>
      </c>
      <c r="AB182" s="110">
        <f>10</f>
        <v>10</v>
      </c>
      <c r="AC182" s="109"/>
      <c r="AD182" s="109"/>
      <c r="AE182" s="109"/>
      <c r="AF182" s="111"/>
      <c r="AG18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3" spans="4:35" x14ac:dyDescent="0.2">
      <c r="D183" s="104"/>
      <c r="E183" s="103"/>
      <c r="F183" s="105"/>
      <c r="G183" s="103"/>
      <c r="H183" s="103"/>
      <c r="I183" s="106">
        <f>IF(الجدول1[[#This Row],[Signing Contract Date]]=0,0,WORKDAY.INTL(الجدول1[[#This Row],[Signing Contract Date]],List!$J$4,7,List!$M$3:$M$100))</f>
        <v>0</v>
      </c>
      <c r="J183" s="107">
        <f>IF(Z183=0,0,WORKDAY.INTL(Y183,Z183+(AA183*AB183),7,List!$M$3:$M$100))</f>
        <v>0</v>
      </c>
      <c r="K183" s="108"/>
      <c r="L183" s="109"/>
      <c r="M183" s="106">
        <f>الجدول1[[#This Row],[Project Start Date | Contract]]</f>
        <v>0</v>
      </c>
      <c r="N183" s="110"/>
      <c r="O183" s="110"/>
      <c r="P183" s="110"/>
      <c r="Q183" s="110"/>
      <c r="R183" s="109"/>
      <c r="S183" s="31">
        <f>IF(M183=0,0, WORKDAY.INTL( WORKDAY.INTL(M183,N183+(O183*P183),7,List!$M$3:$M$100),List!$K$4,7,List!$M$3:$M$100))</f>
        <v>0</v>
      </c>
      <c r="T183" s="110"/>
      <c r="U183" s="110">
        <f>2</f>
        <v>2</v>
      </c>
      <c r="V183" s="110">
        <f>10</f>
        <v>10</v>
      </c>
      <c r="W183" s="110"/>
      <c r="X183" s="109"/>
      <c r="Y183" s="35">
        <f>IF(S183=0,0,WORKDAY.INTL(S183,T183+(U183*V183),7,List!$M$3:$M$100))</f>
        <v>0</v>
      </c>
      <c r="Z183" s="110"/>
      <c r="AA183" s="110">
        <f>2</f>
        <v>2</v>
      </c>
      <c r="AB183" s="110">
        <f>10</f>
        <v>10</v>
      </c>
      <c r="AC183" s="109"/>
      <c r="AD183" s="109"/>
      <c r="AE183" s="109"/>
      <c r="AF183" s="111"/>
      <c r="AG18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4" spans="4:35" x14ac:dyDescent="0.2">
      <c r="D184" s="104"/>
      <c r="E184" s="103"/>
      <c r="F184" s="105"/>
      <c r="G184" s="103"/>
      <c r="H184" s="103"/>
      <c r="I184" s="106">
        <f>IF(الجدول1[[#This Row],[Signing Contract Date]]=0,0,WORKDAY.INTL(الجدول1[[#This Row],[Signing Contract Date]],List!$J$4,7,List!$M$3:$M$100))</f>
        <v>0</v>
      </c>
      <c r="J184" s="107">
        <f>IF(Z184=0,0,WORKDAY.INTL(Y184,Z184+(AA184*AB184),7,List!$M$3:$M$100))</f>
        <v>0</v>
      </c>
      <c r="K184" s="108"/>
      <c r="L184" s="109"/>
      <c r="M184" s="106">
        <f>الجدول1[[#This Row],[Project Start Date | Contract]]</f>
        <v>0</v>
      </c>
      <c r="N184" s="110"/>
      <c r="O184" s="110"/>
      <c r="P184" s="110"/>
      <c r="Q184" s="110"/>
      <c r="R184" s="109"/>
      <c r="S184" s="31">
        <f>IF(M184=0,0, WORKDAY.INTL( WORKDAY.INTL(M184,N184+(O184*P184),7,List!$M$3:$M$100),List!$K$4,7,List!$M$3:$M$100))</f>
        <v>0</v>
      </c>
      <c r="T184" s="110"/>
      <c r="U184" s="110">
        <f>2</f>
        <v>2</v>
      </c>
      <c r="V184" s="110">
        <f>10</f>
        <v>10</v>
      </c>
      <c r="W184" s="110"/>
      <c r="X184" s="109"/>
      <c r="Y184" s="35">
        <f>IF(S184=0,0,WORKDAY.INTL(S184,T184+(U184*V184),7,List!$M$3:$M$100))</f>
        <v>0</v>
      </c>
      <c r="Z184" s="110"/>
      <c r="AA184" s="110">
        <f>2</f>
        <v>2</v>
      </c>
      <c r="AB184" s="110">
        <f>10</f>
        <v>10</v>
      </c>
      <c r="AC184" s="109"/>
      <c r="AD184" s="109"/>
      <c r="AE184" s="109"/>
      <c r="AF184" s="111"/>
      <c r="AG18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5" spans="4:35" x14ac:dyDescent="0.2">
      <c r="D185" s="104"/>
      <c r="E185" s="103"/>
      <c r="F185" s="105"/>
      <c r="G185" s="103"/>
      <c r="H185" s="103"/>
      <c r="I185" s="106">
        <f>IF(الجدول1[[#This Row],[Signing Contract Date]]=0,0,WORKDAY.INTL(الجدول1[[#This Row],[Signing Contract Date]],List!$J$4,7,List!$M$3:$M$100))</f>
        <v>0</v>
      </c>
      <c r="J185" s="107">
        <f>IF(Z185=0,0,WORKDAY.INTL(Y185,Z185+(AA185*AB185),7,List!$M$3:$M$100))</f>
        <v>0</v>
      </c>
      <c r="K185" s="108"/>
      <c r="L185" s="109"/>
      <c r="M185" s="106">
        <f>الجدول1[[#This Row],[Project Start Date | Contract]]</f>
        <v>0</v>
      </c>
      <c r="N185" s="110"/>
      <c r="O185" s="110"/>
      <c r="P185" s="110"/>
      <c r="Q185" s="110"/>
      <c r="R185" s="109"/>
      <c r="S185" s="31">
        <f>IF(M185=0,0, WORKDAY.INTL( WORKDAY.INTL(M185,N185+(O185*P185),7,List!$M$3:$M$100),List!$K$4,7,List!$M$3:$M$100))</f>
        <v>0</v>
      </c>
      <c r="T185" s="110"/>
      <c r="U185" s="110">
        <f>2</f>
        <v>2</v>
      </c>
      <c r="V185" s="110">
        <f>10</f>
        <v>10</v>
      </c>
      <c r="W185" s="110"/>
      <c r="X185" s="109"/>
      <c r="Y185" s="35">
        <f>IF(S185=0,0,WORKDAY.INTL(S185,T185+(U185*V185),7,List!$M$3:$M$100))</f>
        <v>0</v>
      </c>
      <c r="Z185" s="110"/>
      <c r="AA185" s="110">
        <f>2</f>
        <v>2</v>
      </c>
      <c r="AB185" s="110">
        <f>10</f>
        <v>10</v>
      </c>
      <c r="AC185" s="109"/>
      <c r="AD185" s="109"/>
      <c r="AE185" s="109"/>
      <c r="AF185" s="111"/>
      <c r="AG18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6" spans="4:35" x14ac:dyDescent="0.2">
      <c r="D186" s="104"/>
      <c r="E186" s="103"/>
      <c r="F186" s="105"/>
      <c r="G186" s="103"/>
      <c r="H186" s="103"/>
      <c r="I186" s="106">
        <f>IF(الجدول1[[#This Row],[Signing Contract Date]]=0,0,WORKDAY.INTL(الجدول1[[#This Row],[Signing Contract Date]],List!$J$4,7,List!$M$3:$M$100))</f>
        <v>0</v>
      </c>
      <c r="J186" s="107">
        <f>IF(Z186=0,0,WORKDAY.INTL(Y186,Z186+(AA186*AB186),7,List!$M$3:$M$100))</f>
        <v>0</v>
      </c>
      <c r="K186" s="108"/>
      <c r="L186" s="109"/>
      <c r="M186" s="106">
        <f>الجدول1[[#This Row],[Project Start Date | Contract]]</f>
        <v>0</v>
      </c>
      <c r="N186" s="110"/>
      <c r="O186" s="110"/>
      <c r="P186" s="110"/>
      <c r="Q186" s="110"/>
      <c r="R186" s="109"/>
      <c r="S186" s="31">
        <f>IF(M186=0,0, WORKDAY.INTL( WORKDAY.INTL(M186,N186+(O186*P186),7,List!$M$3:$M$100),List!$K$4,7,List!$M$3:$M$100))</f>
        <v>0</v>
      </c>
      <c r="T186" s="110"/>
      <c r="U186" s="110">
        <f>2</f>
        <v>2</v>
      </c>
      <c r="V186" s="110">
        <f>10</f>
        <v>10</v>
      </c>
      <c r="W186" s="110"/>
      <c r="X186" s="109"/>
      <c r="Y186" s="35">
        <f>IF(S186=0,0,WORKDAY.INTL(S186,T186+(U186*V186),7,List!$M$3:$M$100))</f>
        <v>0</v>
      </c>
      <c r="Z186" s="110"/>
      <c r="AA186" s="110">
        <f>2</f>
        <v>2</v>
      </c>
      <c r="AB186" s="110">
        <f>10</f>
        <v>10</v>
      </c>
      <c r="AC186" s="109"/>
      <c r="AD186" s="109"/>
      <c r="AE186" s="109"/>
      <c r="AF186" s="111"/>
      <c r="AG18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7" spans="4:35" x14ac:dyDescent="0.2">
      <c r="D187" s="104"/>
      <c r="E187" s="103"/>
      <c r="F187" s="105"/>
      <c r="G187" s="103"/>
      <c r="H187" s="103"/>
      <c r="I187" s="106">
        <f>IF(الجدول1[[#This Row],[Signing Contract Date]]=0,0,WORKDAY.INTL(الجدول1[[#This Row],[Signing Contract Date]],List!$J$4,7,List!$M$3:$M$100))</f>
        <v>0</v>
      </c>
      <c r="J187" s="107">
        <f>IF(Z187=0,0,WORKDAY.INTL(Y187,Z187+(AA187*AB187),7,List!$M$3:$M$100))</f>
        <v>0</v>
      </c>
      <c r="K187" s="108"/>
      <c r="L187" s="109"/>
      <c r="M187" s="106">
        <f>الجدول1[[#This Row],[Project Start Date | Contract]]</f>
        <v>0</v>
      </c>
      <c r="N187" s="110"/>
      <c r="O187" s="110"/>
      <c r="P187" s="110"/>
      <c r="Q187" s="110"/>
      <c r="R187" s="109"/>
      <c r="S187" s="31">
        <f>IF(M187=0,0, WORKDAY.INTL( WORKDAY.INTL(M187,N187+(O187*P187),7,List!$M$3:$M$100),List!$K$4,7,List!$M$3:$M$100))</f>
        <v>0</v>
      </c>
      <c r="T187" s="110"/>
      <c r="U187" s="110">
        <f>2</f>
        <v>2</v>
      </c>
      <c r="V187" s="110">
        <f>10</f>
        <v>10</v>
      </c>
      <c r="W187" s="110"/>
      <c r="X187" s="109"/>
      <c r="Y187" s="35">
        <f>IF(S187=0,0,WORKDAY.INTL(S187,T187+(U187*V187),7,List!$M$3:$M$100))</f>
        <v>0</v>
      </c>
      <c r="Z187" s="110"/>
      <c r="AA187" s="110">
        <f>2</f>
        <v>2</v>
      </c>
      <c r="AB187" s="110">
        <f>10</f>
        <v>10</v>
      </c>
      <c r="AC187" s="109"/>
      <c r="AD187" s="109"/>
      <c r="AE187" s="109"/>
      <c r="AF187" s="111"/>
      <c r="AG18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8" spans="4:35" x14ac:dyDescent="0.2">
      <c r="D188" s="104"/>
      <c r="E188" s="103"/>
      <c r="F188" s="105"/>
      <c r="G188" s="103"/>
      <c r="H188" s="103"/>
      <c r="I188" s="106">
        <f>IF(الجدول1[[#This Row],[Signing Contract Date]]=0,0,WORKDAY.INTL(الجدول1[[#This Row],[Signing Contract Date]],List!$J$4,7,List!$M$3:$M$100))</f>
        <v>0</v>
      </c>
      <c r="J188" s="107">
        <f>IF(Z188=0,0,WORKDAY.INTL(Y188,Z188+(AA188*AB188),7,List!$M$3:$M$100))</f>
        <v>0</v>
      </c>
      <c r="K188" s="108"/>
      <c r="L188" s="109"/>
      <c r="M188" s="106">
        <f>الجدول1[[#This Row],[Project Start Date | Contract]]</f>
        <v>0</v>
      </c>
      <c r="N188" s="110"/>
      <c r="O188" s="110"/>
      <c r="P188" s="110"/>
      <c r="Q188" s="110"/>
      <c r="R188" s="109"/>
      <c r="S188" s="31">
        <f>IF(M188=0,0, WORKDAY.INTL( WORKDAY.INTL(M188,N188+(O188*P188),7,List!$M$3:$M$100),List!$K$4,7,List!$M$3:$M$100))</f>
        <v>0</v>
      </c>
      <c r="T188" s="110"/>
      <c r="U188" s="110">
        <f>2</f>
        <v>2</v>
      </c>
      <c r="V188" s="110">
        <f>10</f>
        <v>10</v>
      </c>
      <c r="W188" s="110"/>
      <c r="X188" s="109"/>
      <c r="Y188" s="35">
        <f>IF(S188=0,0,WORKDAY.INTL(S188,T188+(U188*V188),7,List!$M$3:$M$100))</f>
        <v>0</v>
      </c>
      <c r="Z188" s="110"/>
      <c r="AA188" s="110">
        <f>2</f>
        <v>2</v>
      </c>
      <c r="AB188" s="110">
        <f>10</f>
        <v>10</v>
      </c>
      <c r="AC188" s="109"/>
      <c r="AD188" s="109"/>
      <c r="AE188" s="109"/>
      <c r="AF188" s="111"/>
      <c r="AG18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89" spans="4:35" x14ac:dyDescent="0.2">
      <c r="D189" s="104"/>
      <c r="E189" s="103"/>
      <c r="F189" s="105"/>
      <c r="G189" s="103"/>
      <c r="H189" s="103"/>
      <c r="I189" s="106">
        <f>IF(الجدول1[[#This Row],[Signing Contract Date]]=0,0,WORKDAY.INTL(الجدول1[[#This Row],[Signing Contract Date]],List!$J$4,7,List!$M$3:$M$100))</f>
        <v>0</v>
      </c>
      <c r="J189" s="107">
        <f>IF(Z189=0,0,WORKDAY.INTL(Y189,Z189+(AA189*AB189),7,List!$M$3:$M$100))</f>
        <v>0</v>
      </c>
      <c r="K189" s="108"/>
      <c r="L189" s="109"/>
      <c r="M189" s="106">
        <f>الجدول1[[#This Row],[Project Start Date | Contract]]</f>
        <v>0</v>
      </c>
      <c r="N189" s="110"/>
      <c r="O189" s="110"/>
      <c r="P189" s="110"/>
      <c r="Q189" s="110"/>
      <c r="R189" s="109"/>
      <c r="S189" s="31">
        <f>IF(M189=0,0, WORKDAY.INTL( WORKDAY.INTL(M189,N189+(O189*P189),7,List!$M$3:$M$100),List!$K$4,7,List!$M$3:$M$100))</f>
        <v>0</v>
      </c>
      <c r="T189" s="110"/>
      <c r="U189" s="110">
        <f>2</f>
        <v>2</v>
      </c>
      <c r="V189" s="110">
        <f>10</f>
        <v>10</v>
      </c>
      <c r="W189" s="110"/>
      <c r="X189" s="109"/>
      <c r="Y189" s="35">
        <f>IF(S189=0,0,WORKDAY.INTL(S189,T189+(U189*V189),7,List!$M$3:$M$100))</f>
        <v>0</v>
      </c>
      <c r="Z189" s="110"/>
      <c r="AA189" s="110">
        <f>2</f>
        <v>2</v>
      </c>
      <c r="AB189" s="110">
        <f>10</f>
        <v>10</v>
      </c>
      <c r="AC189" s="109"/>
      <c r="AD189" s="109"/>
      <c r="AE189" s="109"/>
      <c r="AF189" s="111"/>
      <c r="AG18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8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8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0" spans="4:35" x14ac:dyDescent="0.2">
      <c r="D190" s="104"/>
      <c r="E190" s="103"/>
      <c r="F190" s="105"/>
      <c r="G190" s="103"/>
      <c r="H190" s="103"/>
      <c r="I190" s="106">
        <f>IF(الجدول1[[#This Row],[Signing Contract Date]]=0,0,WORKDAY.INTL(الجدول1[[#This Row],[Signing Contract Date]],List!$J$4,7,List!$M$3:$M$100))</f>
        <v>0</v>
      </c>
      <c r="J190" s="107">
        <f>IF(Z190=0,0,WORKDAY.INTL(Y190,Z190+(AA190*AB190),7,List!$M$3:$M$100))</f>
        <v>0</v>
      </c>
      <c r="K190" s="108"/>
      <c r="L190" s="109"/>
      <c r="M190" s="106">
        <f>الجدول1[[#This Row],[Project Start Date | Contract]]</f>
        <v>0</v>
      </c>
      <c r="N190" s="110"/>
      <c r="O190" s="110"/>
      <c r="P190" s="110"/>
      <c r="Q190" s="110"/>
      <c r="R190" s="109"/>
      <c r="S190" s="31">
        <f>IF(M190=0,0, WORKDAY.INTL( WORKDAY.INTL(M190,N190+(O190*P190),7,List!$M$3:$M$100),List!$K$4,7,List!$M$3:$M$100))</f>
        <v>0</v>
      </c>
      <c r="T190" s="110"/>
      <c r="U190" s="110">
        <f>2</f>
        <v>2</v>
      </c>
      <c r="V190" s="110">
        <f>10</f>
        <v>10</v>
      </c>
      <c r="W190" s="110"/>
      <c r="X190" s="109"/>
      <c r="Y190" s="35">
        <f>IF(S190=0,0,WORKDAY.INTL(S190,T190+(U190*V190),7,List!$M$3:$M$100))</f>
        <v>0</v>
      </c>
      <c r="Z190" s="110"/>
      <c r="AA190" s="110">
        <f>2</f>
        <v>2</v>
      </c>
      <c r="AB190" s="110">
        <f>10</f>
        <v>10</v>
      </c>
      <c r="AC190" s="109"/>
      <c r="AD190" s="109"/>
      <c r="AE190" s="109"/>
      <c r="AF190" s="111"/>
      <c r="AG19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1" spans="4:35" x14ac:dyDescent="0.2">
      <c r="D191" s="104"/>
      <c r="E191" s="103"/>
      <c r="F191" s="105"/>
      <c r="G191" s="103"/>
      <c r="H191" s="103"/>
      <c r="I191" s="106">
        <f>IF(الجدول1[[#This Row],[Signing Contract Date]]=0,0,WORKDAY.INTL(الجدول1[[#This Row],[Signing Contract Date]],List!$J$4,7,List!$M$3:$M$100))</f>
        <v>0</v>
      </c>
      <c r="J191" s="107">
        <f>IF(Z191=0,0,WORKDAY.INTL(Y191,Z191+(AA191*AB191),7,List!$M$3:$M$100))</f>
        <v>0</v>
      </c>
      <c r="K191" s="108"/>
      <c r="L191" s="109"/>
      <c r="M191" s="106">
        <f>الجدول1[[#This Row],[Project Start Date | Contract]]</f>
        <v>0</v>
      </c>
      <c r="N191" s="110"/>
      <c r="O191" s="110"/>
      <c r="P191" s="110"/>
      <c r="Q191" s="110"/>
      <c r="R191" s="109"/>
      <c r="S191" s="31">
        <f>IF(M191=0,0, WORKDAY.INTL( WORKDAY.INTL(M191,N191+(O191*P191),7,List!$M$3:$M$100),List!$K$4,7,List!$M$3:$M$100))</f>
        <v>0</v>
      </c>
      <c r="T191" s="110"/>
      <c r="U191" s="110">
        <f>2</f>
        <v>2</v>
      </c>
      <c r="V191" s="110">
        <f>10</f>
        <v>10</v>
      </c>
      <c r="W191" s="110"/>
      <c r="X191" s="109"/>
      <c r="Y191" s="35">
        <f>IF(S191=0,0,WORKDAY.INTL(S191,T191+(U191*V191),7,List!$M$3:$M$100))</f>
        <v>0</v>
      </c>
      <c r="Z191" s="110"/>
      <c r="AA191" s="110">
        <f>2</f>
        <v>2</v>
      </c>
      <c r="AB191" s="110">
        <f>10</f>
        <v>10</v>
      </c>
      <c r="AC191" s="109"/>
      <c r="AD191" s="109"/>
      <c r="AE191" s="109"/>
      <c r="AF191" s="111"/>
      <c r="AG19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2" spans="4:35" x14ac:dyDescent="0.2">
      <c r="D192" s="104"/>
      <c r="E192" s="103"/>
      <c r="F192" s="105"/>
      <c r="G192" s="103"/>
      <c r="H192" s="103"/>
      <c r="I192" s="106">
        <f>IF(الجدول1[[#This Row],[Signing Contract Date]]=0,0,WORKDAY.INTL(الجدول1[[#This Row],[Signing Contract Date]],List!$J$4,7,List!$M$3:$M$100))</f>
        <v>0</v>
      </c>
      <c r="J192" s="107">
        <f>IF(Z192=0,0,WORKDAY.INTL(Y192,Z192+(AA192*AB192),7,List!$M$3:$M$100))</f>
        <v>0</v>
      </c>
      <c r="K192" s="108"/>
      <c r="L192" s="109"/>
      <c r="M192" s="106">
        <f>الجدول1[[#This Row],[Project Start Date | Contract]]</f>
        <v>0</v>
      </c>
      <c r="N192" s="110"/>
      <c r="O192" s="110"/>
      <c r="P192" s="110"/>
      <c r="Q192" s="110"/>
      <c r="R192" s="109"/>
      <c r="S192" s="31">
        <f>IF(M192=0,0, WORKDAY.INTL( WORKDAY.INTL(M192,N192+(O192*P192),7,List!$M$3:$M$100),List!$K$4,7,List!$M$3:$M$100))</f>
        <v>0</v>
      </c>
      <c r="T192" s="110"/>
      <c r="U192" s="110">
        <f>2</f>
        <v>2</v>
      </c>
      <c r="V192" s="110">
        <f>10</f>
        <v>10</v>
      </c>
      <c r="W192" s="110"/>
      <c r="X192" s="109"/>
      <c r="Y192" s="35">
        <f>IF(S192=0,0,WORKDAY.INTL(S192,T192+(U192*V192),7,List!$M$3:$M$100))</f>
        <v>0</v>
      </c>
      <c r="Z192" s="110"/>
      <c r="AA192" s="110">
        <f>2</f>
        <v>2</v>
      </c>
      <c r="AB192" s="110">
        <f>10</f>
        <v>10</v>
      </c>
      <c r="AC192" s="109"/>
      <c r="AD192" s="109"/>
      <c r="AE192" s="109"/>
      <c r="AF192" s="111"/>
      <c r="AG19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3" spans="4:35" x14ac:dyDescent="0.2">
      <c r="D193" s="104"/>
      <c r="E193" s="103"/>
      <c r="F193" s="105"/>
      <c r="G193" s="103"/>
      <c r="H193" s="103"/>
      <c r="I193" s="106">
        <f>IF(الجدول1[[#This Row],[Signing Contract Date]]=0,0,WORKDAY.INTL(الجدول1[[#This Row],[Signing Contract Date]],List!$J$4,7,List!$M$3:$M$100))</f>
        <v>0</v>
      </c>
      <c r="J193" s="107">
        <f>IF(Z193=0,0,WORKDAY.INTL(Y193,Z193+(AA193*AB193),7,List!$M$3:$M$100))</f>
        <v>0</v>
      </c>
      <c r="K193" s="108"/>
      <c r="L193" s="109"/>
      <c r="M193" s="106">
        <f>الجدول1[[#This Row],[Project Start Date | Contract]]</f>
        <v>0</v>
      </c>
      <c r="N193" s="110"/>
      <c r="O193" s="110"/>
      <c r="P193" s="110"/>
      <c r="Q193" s="110"/>
      <c r="R193" s="109"/>
      <c r="S193" s="31">
        <f>IF(M193=0,0, WORKDAY.INTL( WORKDAY.INTL(M193,N193+(O193*P193),7,List!$M$3:$M$100),List!$K$4,7,List!$M$3:$M$100))</f>
        <v>0</v>
      </c>
      <c r="T193" s="110"/>
      <c r="U193" s="110">
        <f>2</f>
        <v>2</v>
      </c>
      <c r="V193" s="110">
        <f>10</f>
        <v>10</v>
      </c>
      <c r="W193" s="110"/>
      <c r="X193" s="109"/>
      <c r="Y193" s="35">
        <f>IF(S193=0,0,WORKDAY.INTL(S193,T193+(U193*V193),7,List!$M$3:$M$100))</f>
        <v>0</v>
      </c>
      <c r="Z193" s="110"/>
      <c r="AA193" s="110">
        <f>2</f>
        <v>2</v>
      </c>
      <c r="AB193" s="110">
        <f>10</f>
        <v>10</v>
      </c>
      <c r="AC193" s="109"/>
      <c r="AD193" s="109"/>
      <c r="AE193" s="109"/>
      <c r="AF193" s="111"/>
      <c r="AG19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4" spans="4:35" x14ac:dyDescent="0.2">
      <c r="D194" s="104"/>
      <c r="E194" s="103"/>
      <c r="F194" s="105"/>
      <c r="G194" s="103"/>
      <c r="H194" s="103"/>
      <c r="I194" s="106">
        <f>IF(الجدول1[[#This Row],[Signing Contract Date]]=0,0,WORKDAY.INTL(الجدول1[[#This Row],[Signing Contract Date]],List!$J$4,7,List!$M$3:$M$100))</f>
        <v>0</v>
      </c>
      <c r="J194" s="107">
        <f>IF(Z194=0,0,WORKDAY.INTL(Y194,Z194+(AA194*AB194),7,List!$M$3:$M$100))</f>
        <v>0</v>
      </c>
      <c r="K194" s="108"/>
      <c r="L194" s="109"/>
      <c r="M194" s="106">
        <f>الجدول1[[#This Row],[Project Start Date | Contract]]</f>
        <v>0</v>
      </c>
      <c r="N194" s="110"/>
      <c r="O194" s="110"/>
      <c r="P194" s="110"/>
      <c r="Q194" s="110"/>
      <c r="R194" s="109"/>
      <c r="S194" s="31">
        <f>IF(M194=0,0, WORKDAY.INTL( WORKDAY.INTL(M194,N194+(O194*P194),7,List!$M$3:$M$100),List!$K$4,7,List!$M$3:$M$100))</f>
        <v>0</v>
      </c>
      <c r="T194" s="110"/>
      <c r="U194" s="110">
        <f>2</f>
        <v>2</v>
      </c>
      <c r="V194" s="110">
        <f>10</f>
        <v>10</v>
      </c>
      <c r="W194" s="110"/>
      <c r="X194" s="109"/>
      <c r="Y194" s="35">
        <f>IF(S194=0,0,WORKDAY.INTL(S194,T194+(U194*V194),7,List!$M$3:$M$100))</f>
        <v>0</v>
      </c>
      <c r="Z194" s="110"/>
      <c r="AA194" s="110">
        <f>2</f>
        <v>2</v>
      </c>
      <c r="AB194" s="110">
        <f>10</f>
        <v>10</v>
      </c>
      <c r="AC194" s="109"/>
      <c r="AD194" s="109"/>
      <c r="AE194" s="109"/>
      <c r="AF194" s="111"/>
      <c r="AG19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5" spans="4:35" x14ac:dyDescent="0.2">
      <c r="D195" s="104"/>
      <c r="E195" s="103"/>
      <c r="F195" s="105"/>
      <c r="G195" s="103"/>
      <c r="H195" s="103"/>
      <c r="I195" s="106">
        <f>IF(الجدول1[[#This Row],[Signing Contract Date]]=0,0,WORKDAY.INTL(الجدول1[[#This Row],[Signing Contract Date]],List!$J$4,7,List!$M$3:$M$100))</f>
        <v>0</v>
      </c>
      <c r="J195" s="107">
        <f>IF(Z195=0,0,WORKDAY.INTL(Y195,Z195+(AA195*AB195),7,List!$M$3:$M$100))</f>
        <v>0</v>
      </c>
      <c r="K195" s="108"/>
      <c r="L195" s="109"/>
      <c r="M195" s="106">
        <f>الجدول1[[#This Row],[Project Start Date | Contract]]</f>
        <v>0</v>
      </c>
      <c r="N195" s="110"/>
      <c r="O195" s="110"/>
      <c r="P195" s="110"/>
      <c r="Q195" s="110"/>
      <c r="R195" s="109"/>
      <c r="S195" s="31">
        <f>IF(M195=0,0, WORKDAY.INTL( WORKDAY.INTL(M195,N195+(O195*P195),7,List!$M$3:$M$100),List!$K$4,7,List!$M$3:$M$100))</f>
        <v>0</v>
      </c>
      <c r="T195" s="110"/>
      <c r="U195" s="110">
        <f>2</f>
        <v>2</v>
      </c>
      <c r="V195" s="110">
        <f>10</f>
        <v>10</v>
      </c>
      <c r="W195" s="110"/>
      <c r="X195" s="109"/>
      <c r="Y195" s="35">
        <f>IF(S195=0,0,WORKDAY.INTL(S195,T195+(U195*V195),7,List!$M$3:$M$100))</f>
        <v>0</v>
      </c>
      <c r="Z195" s="110"/>
      <c r="AA195" s="110">
        <f>2</f>
        <v>2</v>
      </c>
      <c r="AB195" s="110">
        <f>10</f>
        <v>10</v>
      </c>
      <c r="AC195" s="109"/>
      <c r="AD195" s="109"/>
      <c r="AE195" s="109"/>
      <c r="AF195" s="111"/>
      <c r="AG19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6" spans="4:35" x14ac:dyDescent="0.2">
      <c r="D196" s="104"/>
      <c r="E196" s="103"/>
      <c r="F196" s="105"/>
      <c r="G196" s="103"/>
      <c r="H196" s="103"/>
      <c r="I196" s="106">
        <f>IF(الجدول1[[#This Row],[Signing Contract Date]]=0,0,WORKDAY.INTL(الجدول1[[#This Row],[Signing Contract Date]],List!$J$4,7,List!$M$3:$M$100))</f>
        <v>0</v>
      </c>
      <c r="J196" s="107">
        <f>IF(Z196=0,0,WORKDAY.INTL(Y196,Z196+(AA196*AB196),7,List!$M$3:$M$100))</f>
        <v>0</v>
      </c>
      <c r="K196" s="108"/>
      <c r="L196" s="109"/>
      <c r="M196" s="106">
        <f>الجدول1[[#This Row],[Project Start Date | Contract]]</f>
        <v>0</v>
      </c>
      <c r="N196" s="110"/>
      <c r="O196" s="110"/>
      <c r="P196" s="110"/>
      <c r="Q196" s="110"/>
      <c r="R196" s="109"/>
      <c r="S196" s="31">
        <f>IF(M196=0,0, WORKDAY.INTL( WORKDAY.INTL(M196,N196+(O196*P196),7,List!$M$3:$M$100),List!$K$4,7,List!$M$3:$M$100))</f>
        <v>0</v>
      </c>
      <c r="T196" s="110"/>
      <c r="U196" s="110">
        <f>2</f>
        <v>2</v>
      </c>
      <c r="V196" s="110">
        <f>10</f>
        <v>10</v>
      </c>
      <c r="W196" s="110"/>
      <c r="X196" s="109"/>
      <c r="Y196" s="35">
        <f>IF(S196=0,0,WORKDAY.INTL(S196,T196+(U196*V196),7,List!$M$3:$M$100))</f>
        <v>0</v>
      </c>
      <c r="Z196" s="110"/>
      <c r="AA196" s="110">
        <f>2</f>
        <v>2</v>
      </c>
      <c r="AB196" s="110">
        <f>10</f>
        <v>10</v>
      </c>
      <c r="AC196" s="109"/>
      <c r="AD196" s="109"/>
      <c r="AE196" s="109"/>
      <c r="AF196" s="111"/>
      <c r="AG196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6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6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7" spans="4:35" x14ac:dyDescent="0.2">
      <c r="D197" s="104"/>
      <c r="E197" s="103"/>
      <c r="F197" s="105"/>
      <c r="G197" s="103"/>
      <c r="H197" s="103"/>
      <c r="I197" s="106">
        <f>IF(الجدول1[[#This Row],[Signing Contract Date]]=0,0,WORKDAY.INTL(الجدول1[[#This Row],[Signing Contract Date]],List!$J$4,7,List!$M$3:$M$100))</f>
        <v>0</v>
      </c>
      <c r="J197" s="107">
        <f>IF(Z197=0,0,WORKDAY.INTL(Y197,Z197+(AA197*AB197),7,List!$M$3:$M$100))</f>
        <v>0</v>
      </c>
      <c r="K197" s="108"/>
      <c r="L197" s="109"/>
      <c r="M197" s="106">
        <f>الجدول1[[#This Row],[Project Start Date | Contract]]</f>
        <v>0</v>
      </c>
      <c r="N197" s="110"/>
      <c r="O197" s="110"/>
      <c r="P197" s="110"/>
      <c r="Q197" s="110"/>
      <c r="R197" s="109"/>
      <c r="S197" s="31">
        <f>IF(M197=0,0, WORKDAY.INTL( WORKDAY.INTL(M197,N197+(O197*P197),7,List!$M$3:$M$100),List!$K$4,7,List!$M$3:$M$100))</f>
        <v>0</v>
      </c>
      <c r="T197" s="110"/>
      <c r="U197" s="110">
        <f>2</f>
        <v>2</v>
      </c>
      <c r="V197" s="110">
        <f>10</f>
        <v>10</v>
      </c>
      <c r="W197" s="110"/>
      <c r="X197" s="109"/>
      <c r="Y197" s="35">
        <f>IF(S197=0,0,WORKDAY.INTL(S197,T197+(U197*V197),7,List!$M$3:$M$100))</f>
        <v>0</v>
      </c>
      <c r="Z197" s="110"/>
      <c r="AA197" s="110">
        <f>2</f>
        <v>2</v>
      </c>
      <c r="AB197" s="110">
        <f>10</f>
        <v>10</v>
      </c>
      <c r="AC197" s="109"/>
      <c r="AD197" s="109"/>
      <c r="AE197" s="109"/>
      <c r="AF197" s="111"/>
      <c r="AG197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7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7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8" spans="4:35" x14ac:dyDescent="0.2">
      <c r="D198" s="104"/>
      <c r="E198" s="103"/>
      <c r="F198" s="105"/>
      <c r="G198" s="103"/>
      <c r="H198" s="103"/>
      <c r="I198" s="106">
        <f>IF(الجدول1[[#This Row],[Signing Contract Date]]=0,0,WORKDAY.INTL(الجدول1[[#This Row],[Signing Contract Date]],List!$J$4,7,List!$M$3:$M$100))</f>
        <v>0</v>
      </c>
      <c r="J198" s="107">
        <f>IF(Z198=0,0,WORKDAY.INTL(Y198,Z198+(AA198*AB198),7,List!$M$3:$M$100))</f>
        <v>0</v>
      </c>
      <c r="K198" s="108"/>
      <c r="L198" s="109"/>
      <c r="M198" s="106">
        <f>الجدول1[[#This Row],[Project Start Date | Contract]]</f>
        <v>0</v>
      </c>
      <c r="N198" s="110"/>
      <c r="O198" s="110"/>
      <c r="P198" s="110"/>
      <c r="Q198" s="110"/>
      <c r="R198" s="109"/>
      <c r="S198" s="31">
        <f>IF(M198=0,0, WORKDAY.INTL( WORKDAY.INTL(M198,N198+(O198*P198),7,List!$M$3:$M$100),List!$K$4,7,List!$M$3:$M$100))</f>
        <v>0</v>
      </c>
      <c r="T198" s="110"/>
      <c r="U198" s="110">
        <f>2</f>
        <v>2</v>
      </c>
      <c r="V198" s="110">
        <f>10</f>
        <v>10</v>
      </c>
      <c r="W198" s="110"/>
      <c r="X198" s="109"/>
      <c r="Y198" s="35">
        <f>IF(S198=0,0,WORKDAY.INTL(S198,T198+(U198*V198),7,List!$M$3:$M$100))</f>
        <v>0</v>
      </c>
      <c r="Z198" s="110"/>
      <c r="AA198" s="110">
        <f>2</f>
        <v>2</v>
      </c>
      <c r="AB198" s="110">
        <f>10</f>
        <v>10</v>
      </c>
      <c r="AC198" s="109"/>
      <c r="AD198" s="109"/>
      <c r="AE198" s="109"/>
      <c r="AF198" s="111"/>
      <c r="AG198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8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8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199" spans="4:35" x14ac:dyDescent="0.2">
      <c r="D199" s="104"/>
      <c r="E199" s="103"/>
      <c r="F199" s="105"/>
      <c r="G199" s="103"/>
      <c r="H199" s="103"/>
      <c r="I199" s="106">
        <f>IF(الجدول1[[#This Row],[Signing Contract Date]]=0,0,WORKDAY.INTL(الجدول1[[#This Row],[Signing Contract Date]],List!$J$4,7,List!$M$3:$M$100))</f>
        <v>0</v>
      </c>
      <c r="J199" s="107">
        <f>IF(Z199=0,0,WORKDAY.INTL(Y199,Z199+(AA199*AB199),7,List!$M$3:$M$100))</f>
        <v>0</v>
      </c>
      <c r="K199" s="108"/>
      <c r="L199" s="109"/>
      <c r="M199" s="106">
        <f>الجدول1[[#This Row],[Project Start Date | Contract]]</f>
        <v>0</v>
      </c>
      <c r="N199" s="110"/>
      <c r="O199" s="110"/>
      <c r="P199" s="110"/>
      <c r="Q199" s="110"/>
      <c r="R199" s="109"/>
      <c r="S199" s="31">
        <f>IF(M199=0,0, WORKDAY.INTL( WORKDAY.INTL(M199,N199+(O199*P199),7,List!$M$3:$M$100),List!$K$4,7,List!$M$3:$M$100))</f>
        <v>0</v>
      </c>
      <c r="T199" s="110"/>
      <c r="U199" s="110">
        <f>2</f>
        <v>2</v>
      </c>
      <c r="V199" s="110">
        <f>10</f>
        <v>10</v>
      </c>
      <c r="W199" s="110"/>
      <c r="X199" s="109"/>
      <c r="Y199" s="35">
        <f>IF(S199=0,0,WORKDAY.INTL(S199,T199+(U199*V199),7,List!$M$3:$M$100))</f>
        <v>0</v>
      </c>
      <c r="Z199" s="110"/>
      <c r="AA199" s="110">
        <f>2</f>
        <v>2</v>
      </c>
      <c r="AB199" s="110">
        <f>10</f>
        <v>10</v>
      </c>
      <c r="AC199" s="109"/>
      <c r="AD199" s="109"/>
      <c r="AE199" s="109"/>
      <c r="AF199" s="111"/>
      <c r="AG199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199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199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00" spans="4:35" x14ac:dyDescent="0.2">
      <c r="D200" s="104"/>
      <c r="E200" s="103"/>
      <c r="F200" s="105"/>
      <c r="G200" s="103"/>
      <c r="H200" s="103"/>
      <c r="I200" s="106">
        <f>IF(الجدول1[[#This Row],[Signing Contract Date]]=0,0,WORKDAY.INTL(الجدول1[[#This Row],[Signing Contract Date]],List!$J$4,7,List!$M$3:$M$100))</f>
        <v>0</v>
      </c>
      <c r="J200" s="107">
        <f>IF(Z200=0,0,WORKDAY.INTL(Y200,Z200+(AA200*AB200),7,List!$M$3:$M$100))</f>
        <v>0</v>
      </c>
      <c r="K200" s="108"/>
      <c r="L200" s="109"/>
      <c r="M200" s="106">
        <f>الجدول1[[#This Row],[Project Start Date | Contract]]</f>
        <v>0</v>
      </c>
      <c r="N200" s="110"/>
      <c r="O200" s="110"/>
      <c r="P200" s="110"/>
      <c r="Q200" s="110"/>
      <c r="R200" s="109"/>
      <c r="S200" s="31">
        <f>IF(M200=0,0, WORKDAY.INTL( WORKDAY.INTL(M200,N200+(O200*P200),7,List!$M$3:$M$100),List!$K$4,7,List!$M$3:$M$100))</f>
        <v>0</v>
      </c>
      <c r="T200" s="110"/>
      <c r="U200" s="110">
        <f>2</f>
        <v>2</v>
      </c>
      <c r="V200" s="110">
        <f>10</f>
        <v>10</v>
      </c>
      <c r="W200" s="110"/>
      <c r="X200" s="109"/>
      <c r="Y200" s="35">
        <f>IF(S200=0,0,WORKDAY.INTL(S200,T200+(U200*V200),7,List!$M$3:$M$100))</f>
        <v>0</v>
      </c>
      <c r="Z200" s="110"/>
      <c r="AA200" s="110">
        <f>2</f>
        <v>2</v>
      </c>
      <c r="AB200" s="110">
        <f>10</f>
        <v>10</v>
      </c>
      <c r="AC200" s="109"/>
      <c r="AD200" s="109"/>
      <c r="AE200" s="109"/>
      <c r="AF200" s="111"/>
      <c r="AG200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00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00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01" spans="4:35" x14ac:dyDescent="0.2">
      <c r="D201" s="104"/>
      <c r="E201" s="103"/>
      <c r="F201" s="105"/>
      <c r="G201" s="103"/>
      <c r="H201" s="103"/>
      <c r="I201" s="106">
        <f>IF(الجدول1[[#This Row],[Signing Contract Date]]=0,0,WORKDAY.INTL(الجدول1[[#This Row],[Signing Contract Date]],List!$J$4,7,List!$M$3:$M$100))</f>
        <v>0</v>
      </c>
      <c r="J201" s="107">
        <f>IF(Z201=0,0,WORKDAY.INTL(Y201,Z201+(AA201*AB201),7,List!$M$3:$M$100))</f>
        <v>0</v>
      </c>
      <c r="K201" s="108"/>
      <c r="L201" s="109"/>
      <c r="M201" s="106">
        <f>الجدول1[[#This Row],[Project Start Date | Contract]]</f>
        <v>0</v>
      </c>
      <c r="N201" s="110"/>
      <c r="O201" s="110"/>
      <c r="P201" s="110"/>
      <c r="Q201" s="110"/>
      <c r="R201" s="109"/>
      <c r="S201" s="31">
        <f>IF(M201=0,0, WORKDAY.INTL( WORKDAY.INTL(M201,N201+(O201*P201),7,List!$M$3:$M$100),List!$K$4,7,List!$M$3:$M$100))</f>
        <v>0</v>
      </c>
      <c r="T201" s="110"/>
      <c r="U201" s="110">
        <f>2</f>
        <v>2</v>
      </c>
      <c r="V201" s="110">
        <f>10</f>
        <v>10</v>
      </c>
      <c r="W201" s="110"/>
      <c r="X201" s="109"/>
      <c r="Y201" s="35">
        <f>IF(S201=0,0,WORKDAY.INTL(S201,T201+(U201*V201),7,List!$M$3:$M$100))</f>
        <v>0</v>
      </c>
      <c r="Z201" s="110"/>
      <c r="AA201" s="110">
        <f>2</f>
        <v>2</v>
      </c>
      <c r="AB201" s="110">
        <f>10</f>
        <v>10</v>
      </c>
      <c r="AC201" s="109"/>
      <c r="AD201" s="109"/>
      <c r="AE201" s="109"/>
      <c r="AF201" s="111"/>
      <c r="AG201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01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01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02" spans="4:35" x14ac:dyDescent="0.2">
      <c r="D202" s="104"/>
      <c r="E202" s="103"/>
      <c r="F202" s="105"/>
      <c r="G202" s="103"/>
      <c r="H202" s="103"/>
      <c r="I202" s="106">
        <f>IF(الجدول1[[#This Row],[Signing Contract Date]]=0,0,WORKDAY.INTL(الجدول1[[#This Row],[Signing Contract Date]],List!$J$4,7,List!$M$3:$M$100))</f>
        <v>0</v>
      </c>
      <c r="J202" s="107">
        <f>IF(Z202=0,0,WORKDAY.INTL(Y202,Z202+(AA202*AB202),7,List!$M$3:$M$100))</f>
        <v>0</v>
      </c>
      <c r="K202" s="108"/>
      <c r="L202" s="109"/>
      <c r="M202" s="106">
        <f>الجدول1[[#This Row],[Project Start Date | Contract]]</f>
        <v>0</v>
      </c>
      <c r="N202" s="110"/>
      <c r="O202" s="110"/>
      <c r="P202" s="110"/>
      <c r="Q202" s="110"/>
      <c r="R202" s="109"/>
      <c r="S202" s="31">
        <f>IF(M202=0,0, WORKDAY.INTL( WORKDAY.INTL(M202,N202+(O202*P202),7,List!$M$3:$M$100),List!$K$4,7,List!$M$3:$M$100))</f>
        <v>0</v>
      </c>
      <c r="T202" s="110"/>
      <c r="U202" s="110">
        <f>2</f>
        <v>2</v>
      </c>
      <c r="V202" s="110">
        <f>10</f>
        <v>10</v>
      </c>
      <c r="W202" s="110"/>
      <c r="X202" s="109"/>
      <c r="Y202" s="35">
        <f>IF(S202=0,0,WORKDAY.INTL(S202,T202+(U202*V202),7,List!$M$3:$M$100))</f>
        <v>0</v>
      </c>
      <c r="Z202" s="110"/>
      <c r="AA202" s="110">
        <f>2</f>
        <v>2</v>
      </c>
      <c r="AB202" s="110">
        <f>10</f>
        <v>10</v>
      </c>
      <c r="AC202" s="109"/>
      <c r="AD202" s="109"/>
      <c r="AE202" s="109"/>
      <c r="AF202" s="111"/>
      <c r="AG202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02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02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03" spans="4:35" x14ac:dyDescent="0.2">
      <c r="D203" s="104"/>
      <c r="E203" s="103"/>
      <c r="F203" s="105"/>
      <c r="G203" s="103"/>
      <c r="H203" s="103"/>
      <c r="I203" s="106">
        <f>IF(الجدول1[[#This Row],[Signing Contract Date]]=0,0,WORKDAY.INTL(الجدول1[[#This Row],[Signing Contract Date]],List!$J$4,7,List!$M$3:$M$100))</f>
        <v>0</v>
      </c>
      <c r="J203" s="107">
        <f>IF(Z203=0,0,WORKDAY.INTL(Y203,Z203+(AA203*AB203),7,List!$M$3:$M$100))</f>
        <v>0</v>
      </c>
      <c r="K203" s="108"/>
      <c r="L203" s="109"/>
      <c r="M203" s="106">
        <f>الجدول1[[#This Row],[Project Start Date | Contract]]</f>
        <v>0</v>
      </c>
      <c r="N203" s="110"/>
      <c r="O203" s="110"/>
      <c r="P203" s="110"/>
      <c r="Q203" s="110"/>
      <c r="R203" s="109"/>
      <c r="S203" s="31">
        <f>IF(M203=0,0, WORKDAY.INTL( WORKDAY.INTL(M203,N203+(O203*P203),7,List!$M$3:$M$100),List!$K$4,7,List!$M$3:$M$100))</f>
        <v>0</v>
      </c>
      <c r="T203" s="110"/>
      <c r="U203" s="110">
        <f>2</f>
        <v>2</v>
      </c>
      <c r="V203" s="110">
        <f>10</f>
        <v>10</v>
      </c>
      <c r="W203" s="110"/>
      <c r="X203" s="109"/>
      <c r="Y203" s="35">
        <f>IF(S203=0,0,WORKDAY.INTL(S203,T203+(U203*V203),7,List!$M$3:$M$100))</f>
        <v>0</v>
      </c>
      <c r="Z203" s="110"/>
      <c r="AA203" s="110">
        <f>2</f>
        <v>2</v>
      </c>
      <c r="AB203" s="110">
        <f>10</f>
        <v>10</v>
      </c>
      <c r="AC203" s="109"/>
      <c r="AD203" s="109"/>
      <c r="AE203" s="109"/>
      <c r="AF203" s="111"/>
      <c r="AG203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03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03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04" spans="4:35" x14ac:dyDescent="0.2">
      <c r="D204" s="104"/>
      <c r="E204" s="103"/>
      <c r="F204" s="105"/>
      <c r="G204" s="103"/>
      <c r="H204" s="103"/>
      <c r="I204" s="106">
        <f>IF(الجدول1[[#This Row],[Signing Contract Date]]=0,0,WORKDAY.INTL(الجدول1[[#This Row],[Signing Contract Date]],List!$J$4,7,List!$M$3:$M$100))</f>
        <v>0</v>
      </c>
      <c r="J204" s="107">
        <f>IF(Z204=0,0,WORKDAY.INTL(Y204,Z204+(AA204*AB204),7,List!$M$3:$M$100))</f>
        <v>0</v>
      </c>
      <c r="K204" s="108"/>
      <c r="L204" s="109"/>
      <c r="M204" s="106">
        <f>الجدول1[[#This Row],[Project Start Date | Contract]]</f>
        <v>0</v>
      </c>
      <c r="N204" s="110"/>
      <c r="O204" s="110"/>
      <c r="P204" s="110"/>
      <c r="Q204" s="110"/>
      <c r="R204" s="109"/>
      <c r="S204" s="31">
        <f>IF(M204=0,0, WORKDAY.INTL( WORKDAY.INTL(M204,N204+(O204*P204),7,List!$M$3:$M$100),List!$K$4,7,List!$M$3:$M$100))</f>
        <v>0</v>
      </c>
      <c r="T204" s="110"/>
      <c r="U204" s="110">
        <f>2</f>
        <v>2</v>
      </c>
      <c r="V204" s="110">
        <f>10</f>
        <v>10</v>
      </c>
      <c r="W204" s="110"/>
      <c r="X204" s="109"/>
      <c r="Y204" s="35">
        <f>IF(S204=0,0,WORKDAY.INTL(S204,T204+(U204*V204),7,List!$M$3:$M$100))</f>
        <v>0</v>
      </c>
      <c r="Z204" s="110"/>
      <c r="AA204" s="110">
        <f>2</f>
        <v>2</v>
      </c>
      <c r="AB204" s="110">
        <f>10</f>
        <v>10</v>
      </c>
      <c r="AC204" s="109"/>
      <c r="AD204" s="109"/>
      <c r="AE204" s="109"/>
      <c r="AF204" s="111"/>
      <c r="AG204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04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04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  <row r="205" spans="4:35" x14ac:dyDescent="0.2">
      <c r="D205" s="104"/>
      <c r="E205" s="103"/>
      <c r="F205" s="105"/>
      <c r="G205" s="103"/>
      <c r="H205" s="103"/>
      <c r="I205" s="106">
        <f>IF(الجدول1[[#This Row],[Signing Contract Date]]=0,0,WORKDAY.INTL(الجدول1[[#This Row],[Signing Contract Date]],List!$J$4,7,List!$M$3:$M$100))</f>
        <v>0</v>
      </c>
      <c r="J205" s="107">
        <f>IF(Z205=0,0,WORKDAY.INTL(Y205,Z205+(AA205*AB205),7,List!$M$3:$M$100))</f>
        <v>0</v>
      </c>
      <c r="K205" s="108"/>
      <c r="L205" s="109"/>
      <c r="M205" s="106">
        <f>الجدول1[[#This Row],[Project Start Date | Contract]]</f>
        <v>0</v>
      </c>
      <c r="N205" s="110"/>
      <c r="O205" s="110"/>
      <c r="P205" s="110"/>
      <c r="Q205" s="110"/>
      <c r="R205" s="109"/>
      <c r="S205" s="31">
        <f>IF(M205=0,0, WORKDAY.INTL( WORKDAY.INTL(M205,N205+(O205*P205),7,List!$M$3:$M$100),List!$K$4,7,List!$M$3:$M$100))</f>
        <v>0</v>
      </c>
      <c r="T205" s="110"/>
      <c r="U205" s="110">
        <f>2</f>
        <v>2</v>
      </c>
      <c r="V205" s="110">
        <f>10</f>
        <v>10</v>
      </c>
      <c r="W205" s="110"/>
      <c r="X205" s="109"/>
      <c r="Y205" s="35">
        <f>IF(S205=0,0,WORKDAY.INTL(S205,T205+(U205*V205),7,List!$M$3:$M$100))</f>
        <v>0</v>
      </c>
      <c r="Z205" s="110"/>
      <c r="AA205" s="110">
        <f>2</f>
        <v>2</v>
      </c>
      <c r="AB205" s="110">
        <f>10</f>
        <v>10</v>
      </c>
      <c r="AC205" s="109"/>
      <c r="AD205" s="109"/>
      <c r="AE205" s="109"/>
      <c r="AF205" s="111"/>
      <c r="AG205" s="138">
        <f>IF(الجدول1[[#This Row],[Stu. Team Leader]]=0,0,INDEX(Employees!$E:$E,MATCH(الجدول1[[#This Row],[Stu. Team Leader]],Employees!$C:$C,0))*الجدول1[[#This Row],[Stu. Team Leader Working Percentage]])</f>
        <v>0</v>
      </c>
      <c r="AH205" s="138">
        <f>IF(الجدول1[[#This Row],[Design Team Leader]]=0,0,INDEX(Employees!$E:$E,MATCH(الجدول1[[#This Row],[Design Team Leader]],Employees!$C:$C,0))*الجدول1[[#This Row],[Design Team Leader Working Percentage]])</f>
        <v>0</v>
      </c>
      <c r="AI205" s="138">
        <f>IF(الجدول1[[#This Row],[Tech. Team Leader]]=0,0,INDEX(Employees!$E:$E,MATCH(الجدول1[[#This Row],[Tech. Team Leader]],Employees!$C:$C,0))*الجدول1[[#This Row],[Tech. Team Leader Working Percentage]])</f>
        <v>0</v>
      </c>
    </row>
  </sheetData>
  <sheetProtection algorithmName="SHA-512" hashValue="3vbhN5ln2lSY82MQ2v7vG+mImbX78/u630dgAv7uJQlIkGnVWDkpKcyjVvj4LIlWBAilJkFXauwPNGjZTwFHdg==" saltValue="/9w0CmuTEvF16zYkt46U3A==" spinCount="100000" sheet="1" objects="1" scenarios="1"/>
  <protectedRanges>
    <protectedRange sqref="A5:H205" name="Range1"/>
    <protectedRange sqref="K5:L205" name="Range2"/>
    <protectedRange sqref="N5:R205" name="Range3"/>
    <protectedRange sqref="T5:X205" name="Range4"/>
    <protectedRange sqref="Z5:AF205" name="Range5"/>
  </protectedRanges>
  <mergeCells count="5">
    <mergeCell ref="B3:C3"/>
    <mergeCell ref="K3:P3"/>
    <mergeCell ref="W3:AB3"/>
    <mergeCell ref="Q3:V3"/>
    <mergeCell ref="D3:E3"/>
  </mergeCells>
  <conditionalFormatting sqref="I5:I205">
    <cfRule type="cellIs" dxfId="8" priority="5" operator="equal">
      <formula>0</formula>
    </cfRule>
  </conditionalFormatting>
  <conditionalFormatting sqref="J5:J205">
    <cfRule type="cellIs" dxfId="7" priority="2" operator="equal">
      <formula>0</formula>
    </cfRule>
  </conditionalFormatting>
  <conditionalFormatting sqref="M5:M205">
    <cfRule type="cellIs" dxfId="6" priority="4" operator="equal">
      <formula>0</formula>
    </cfRule>
  </conditionalFormatting>
  <conditionalFormatting sqref="S5:S205">
    <cfRule type="cellIs" dxfId="5" priority="3" operator="equal">
      <formula>0</formula>
    </cfRule>
  </conditionalFormatting>
  <conditionalFormatting sqref="Y5:Y205">
    <cfRule type="cellIs" dxfId="4" priority="1" operator="equal">
      <formula>0</formula>
    </cfRule>
  </conditionalFormatting>
  <dataValidations count="1">
    <dataValidation allowBlank="1" showInputMessage="1" showErrorMessage="1" sqref="X5:X205 R5:R205 L5:L205" xr:uid="{81AB613E-0449-4D1A-82A2-176F55D68407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620C0-B6E7-4A7E-9430-33A7643D8863}">
          <x14:formula1>
            <xm:f>List!$H$3:$H$10</xm:f>
          </x14:formula1>
          <xm:sqref>G5:G205</xm:sqref>
        </x14:dataValidation>
        <x14:dataValidation type="list" allowBlank="1" showInputMessage="1" showErrorMessage="1" xr:uid="{29016845-B9F4-4ED3-BBF1-405CE8B310FF}">
          <x14:formula1>
            <xm:f>List!$G$3:$G$15</xm:f>
          </x14:formula1>
          <xm:sqref>F5:F205</xm:sqref>
        </x14:dataValidation>
        <x14:dataValidation type="list" allowBlank="1" showInputMessage="1" showErrorMessage="1" xr:uid="{E7103296-D234-4D75-A04E-FE8FCF57F7F6}">
          <x14:formula1>
            <xm:f>OFFSET(Employees!$C$3,MATCH("Studies",Employees!$B$4:$B$505,0),0,COUNTIF(Employees!$B$4:$B$505,"Studies"))</xm:f>
          </x14:formula1>
          <xm:sqref>K5:K205</xm:sqref>
        </x14:dataValidation>
        <x14:dataValidation type="list" allowBlank="1" showInputMessage="1" showErrorMessage="1" xr:uid="{ABC53EF8-12FB-471A-8E8B-907975BB9900}">
          <x14:formula1>
            <xm:f>OFFSET(Employees!$C$3,MATCH("Design",Employees!$B$4:$B$505,0),0,COUNTIF(Employees!$B$4:$B$505,"Design"))</xm:f>
          </x14:formula1>
          <xm:sqref>Q5:Q205</xm:sqref>
        </x14:dataValidation>
        <x14:dataValidation type="list" allowBlank="1" showInputMessage="1" showErrorMessage="1" xr:uid="{CDF84A2A-3A7E-4446-B528-F3E7EBCFEEB3}">
          <x14:formula1>
            <xm:f>OFFSET(Employees!$C$3,MATCH("Technical",Employees!$B$4:$B$505,0),0,COUNTIF(Employees!$B$4:$B$505,"Technical"))</xm:f>
          </x14:formula1>
          <xm:sqref>W5:W205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C00F-C13B-4147-917D-CF58A55F59AD}">
  <sheetPr codeName="Sheet7"/>
  <dimension ref="A1:P103"/>
  <sheetViews>
    <sheetView workbookViewId="0">
      <selection activeCell="M3" sqref="M3"/>
    </sheetView>
  </sheetViews>
  <sheetFormatPr defaultColWidth="9.125" defaultRowHeight="14.25" x14ac:dyDescent="0.2"/>
  <cols>
    <col min="1" max="1" width="2.25" style="3" customWidth="1"/>
    <col min="2" max="2" width="21.125" style="3" customWidth="1"/>
    <col min="3" max="3" width="17.25" style="3" customWidth="1"/>
    <col min="4" max="4" width="2" style="3" customWidth="1"/>
    <col min="5" max="5" width="5.25" style="3" customWidth="1"/>
    <col min="6" max="6" width="19.375" style="3" customWidth="1"/>
    <col min="7" max="7" width="26.875" style="3" customWidth="1"/>
    <col min="8" max="10" width="2.25" style="3" customWidth="1"/>
    <col min="11" max="15" width="9.125" style="3"/>
    <col min="16" max="16" width="9.125" style="3" customWidth="1"/>
    <col min="17" max="17" width="32.375" style="3" bestFit="1" customWidth="1"/>
    <col min="18" max="16384" width="9.125" style="3"/>
  </cols>
  <sheetData>
    <row r="1" spans="1:16" ht="26.25" customHeight="1" x14ac:dyDescent="0.2">
      <c r="A1" s="50"/>
      <c r="B1" s="50"/>
      <c r="C1" s="172" t="s">
        <v>1</v>
      </c>
      <c r="D1" s="172"/>
      <c r="E1" s="50"/>
      <c r="F1" s="50" t="s">
        <v>120</v>
      </c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25.5" x14ac:dyDescent="0.2">
      <c r="B2" s="46" t="s">
        <v>121</v>
      </c>
      <c r="C2" s="46" t="s">
        <v>122</v>
      </c>
      <c r="F2" s="46" t="s">
        <v>123</v>
      </c>
      <c r="G2" s="46" t="s">
        <v>124</v>
      </c>
      <c r="K2" s="46" t="s">
        <v>125</v>
      </c>
      <c r="L2" s="46" t="s">
        <v>126</v>
      </c>
      <c r="M2" s="25" t="s">
        <v>127</v>
      </c>
    </row>
    <row r="3" spans="1:16" ht="18" x14ac:dyDescent="0.45">
      <c r="A3" s="71"/>
      <c r="B3" s="60" t="s">
        <v>128</v>
      </c>
      <c r="C3" s="27">
        <v>0.5</v>
      </c>
      <c r="D3" s="72"/>
      <c r="E3" s="72"/>
      <c r="F3" s="26">
        <v>3</v>
      </c>
      <c r="G3" s="27">
        <v>0.01</v>
      </c>
      <c r="H3" s="72"/>
      <c r="I3" s="113"/>
      <c r="K3" s="26" t="s">
        <v>129</v>
      </c>
      <c r="L3" s="27">
        <v>1</v>
      </c>
      <c r="M3" s="27">
        <f>L4+0.01</f>
        <v>0.81</v>
      </c>
    </row>
    <row r="4" spans="1:16" ht="18" x14ac:dyDescent="0.45">
      <c r="A4" s="71"/>
      <c r="B4" s="61" t="s">
        <v>13</v>
      </c>
      <c r="C4" s="27">
        <v>0.5</v>
      </c>
      <c r="D4" s="72"/>
      <c r="E4" s="72"/>
      <c r="F4" s="113"/>
      <c r="G4" s="72"/>
      <c r="H4" s="72"/>
      <c r="I4" s="113"/>
      <c r="K4" s="26" t="s">
        <v>130</v>
      </c>
      <c r="L4" s="27">
        <v>0.8</v>
      </c>
      <c r="M4" s="27">
        <f t="shared" ref="M4:M7" si="0">L5+0.01</f>
        <v>0.61</v>
      </c>
    </row>
    <row r="5" spans="1:16" ht="18" x14ac:dyDescent="0.45">
      <c r="A5" s="71"/>
      <c r="B5" s="113"/>
      <c r="C5" s="59">
        <f>SUM(C3:C4)</f>
        <v>1</v>
      </c>
      <c r="D5" s="72"/>
      <c r="E5" s="72"/>
      <c r="F5" s="113"/>
      <c r="G5" s="72"/>
      <c r="H5" s="72"/>
      <c r="I5" s="113"/>
      <c r="K5" s="26" t="s">
        <v>131</v>
      </c>
      <c r="L5" s="27">
        <v>0.6</v>
      </c>
      <c r="M5" s="27">
        <f t="shared" si="0"/>
        <v>0.41000000000000003</v>
      </c>
    </row>
    <row r="6" spans="1:16" ht="18" x14ac:dyDescent="0.45">
      <c r="A6" s="71"/>
      <c r="B6" s="72"/>
      <c r="C6" s="72"/>
      <c r="D6" s="72"/>
      <c r="E6" s="72"/>
      <c r="F6" s="113"/>
      <c r="G6" s="72"/>
      <c r="H6" s="72"/>
      <c r="I6" s="113"/>
      <c r="K6" s="26" t="s">
        <v>132</v>
      </c>
      <c r="L6" s="27">
        <v>0.4</v>
      </c>
      <c r="M6" s="27">
        <f t="shared" si="0"/>
        <v>0.21000000000000002</v>
      </c>
    </row>
    <row r="7" spans="1:16" ht="18" x14ac:dyDescent="0.45">
      <c r="A7" s="71"/>
      <c r="B7" s="72"/>
      <c r="C7" s="72"/>
      <c r="D7" s="72"/>
      <c r="E7" s="72"/>
      <c r="F7" s="113"/>
      <c r="G7" s="72"/>
      <c r="H7" s="72"/>
      <c r="I7" s="113"/>
      <c r="K7" s="26" t="s">
        <v>133</v>
      </c>
      <c r="L7" s="27">
        <v>0.2</v>
      </c>
      <c r="M7" s="27">
        <f t="shared" si="0"/>
        <v>0.01</v>
      </c>
    </row>
    <row r="8" spans="1:16" ht="18" x14ac:dyDescent="0.45">
      <c r="A8" s="71"/>
      <c r="B8" s="72"/>
      <c r="C8" s="72"/>
      <c r="D8" s="72"/>
      <c r="E8" s="72"/>
      <c r="F8" s="113"/>
      <c r="G8" s="72"/>
      <c r="H8" s="72"/>
      <c r="I8" s="113"/>
      <c r="K8" s="26" t="s">
        <v>134</v>
      </c>
      <c r="L8" s="27">
        <v>0</v>
      </c>
      <c r="M8" s="42"/>
    </row>
    <row r="9" spans="1:16" x14ac:dyDescent="0.2">
      <c r="A9" s="71"/>
      <c r="B9" s="72"/>
      <c r="C9" s="72"/>
      <c r="D9" s="72"/>
      <c r="E9" s="72"/>
      <c r="F9" s="113"/>
      <c r="G9" s="72"/>
      <c r="H9" s="72"/>
      <c r="I9" s="113"/>
    </row>
    <row r="10" spans="1:16" x14ac:dyDescent="0.2">
      <c r="A10" s="71"/>
      <c r="B10" s="72"/>
      <c r="C10" s="72"/>
      <c r="D10" s="72"/>
      <c r="E10" s="72"/>
      <c r="F10" s="113"/>
      <c r="G10" s="72"/>
      <c r="H10" s="72"/>
      <c r="I10" s="113"/>
    </row>
    <row r="11" spans="1:16" x14ac:dyDescent="0.2">
      <c r="A11" s="71"/>
      <c r="B11" s="72"/>
      <c r="C11" s="72"/>
      <c r="D11" s="72"/>
      <c r="E11" s="72"/>
      <c r="F11" s="72"/>
      <c r="G11" s="72"/>
      <c r="H11" s="72"/>
      <c r="I11" s="113"/>
    </row>
    <row r="12" spans="1:16" x14ac:dyDescent="0.2">
      <c r="A12" s="71"/>
      <c r="B12" s="72"/>
      <c r="C12" s="72"/>
      <c r="D12" s="72"/>
      <c r="E12" s="72"/>
      <c r="F12" s="72"/>
      <c r="G12" s="72"/>
      <c r="H12" s="72"/>
      <c r="I12" s="72"/>
    </row>
    <row r="13" spans="1:16" x14ac:dyDescent="0.2">
      <c r="D13" s="72"/>
      <c r="E13" s="72"/>
    </row>
    <row r="14" spans="1:16" x14ac:dyDescent="0.2">
      <c r="D14" s="72"/>
      <c r="E14" s="72"/>
    </row>
    <row r="15" spans="1:16" x14ac:dyDescent="0.2">
      <c r="D15" s="72"/>
      <c r="E15" s="72"/>
    </row>
    <row r="16" spans="1:16" x14ac:dyDescent="0.2">
      <c r="D16" s="72"/>
      <c r="E16" s="72"/>
    </row>
    <row r="17" spans="4:5" x14ac:dyDescent="0.2">
      <c r="D17" s="72"/>
      <c r="E17" s="72"/>
    </row>
    <row r="18" spans="4:5" x14ac:dyDescent="0.2">
      <c r="D18" s="72"/>
      <c r="E18" s="72"/>
    </row>
    <row r="19" spans="4:5" x14ac:dyDescent="0.2">
      <c r="D19" s="72"/>
      <c r="E19" s="72"/>
    </row>
    <row r="20" spans="4:5" x14ac:dyDescent="0.2">
      <c r="D20" s="72"/>
      <c r="E20" s="72"/>
    </row>
    <row r="21" spans="4:5" x14ac:dyDescent="0.2">
      <c r="D21" s="72"/>
      <c r="E21" s="72"/>
    </row>
    <row r="22" spans="4:5" x14ac:dyDescent="0.2">
      <c r="D22" s="72"/>
      <c r="E22" s="72"/>
    </row>
    <row r="23" spans="4:5" x14ac:dyDescent="0.2">
      <c r="D23" s="72"/>
      <c r="E23" s="72"/>
    </row>
    <row r="24" spans="4:5" x14ac:dyDescent="0.2">
      <c r="D24" s="72"/>
      <c r="E24" s="72"/>
    </row>
    <row r="25" spans="4:5" x14ac:dyDescent="0.2">
      <c r="D25" s="72"/>
      <c r="E25" s="72"/>
    </row>
    <row r="26" spans="4:5" x14ac:dyDescent="0.2">
      <c r="D26" s="72"/>
      <c r="E26" s="72"/>
    </row>
    <row r="27" spans="4:5" x14ac:dyDescent="0.2">
      <c r="D27" s="72"/>
      <c r="E27" s="72"/>
    </row>
    <row r="28" spans="4:5" x14ac:dyDescent="0.2">
      <c r="D28" s="72"/>
      <c r="E28" s="72"/>
    </row>
    <row r="29" spans="4:5" x14ac:dyDescent="0.2">
      <c r="D29" s="72"/>
      <c r="E29" s="72"/>
    </row>
    <row r="30" spans="4:5" x14ac:dyDescent="0.2">
      <c r="D30" s="72"/>
      <c r="E30" s="72"/>
    </row>
    <row r="31" spans="4:5" x14ac:dyDescent="0.2">
      <c r="D31" s="72"/>
      <c r="E31" s="72"/>
    </row>
    <row r="32" spans="4:5" x14ac:dyDescent="0.2">
      <c r="D32" s="72"/>
      <c r="E32" s="72"/>
    </row>
    <row r="33" spans="4:5" x14ac:dyDescent="0.2">
      <c r="D33" s="72"/>
      <c r="E33" s="72"/>
    </row>
    <row r="34" spans="4:5" x14ac:dyDescent="0.2">
      <c r="D34" s="72"/>
      <c r="E34" s="72"/>
    </row>
    <row r="35" spans="4:5" x14ac:dyDescent="0.2">
      <c r="D35" s="72"/>
      <c r="E35" s="72"/>
    </row>
    <row r="36" spans="4:5" x14ac:dyDescent="0.2">
      <c r="D36" s="72"/>
      <c r="E36" s="72"/>
    </row>
    <row r="37" spans="4:5" x14ac:dyDescent="0.2">
      <c r="D37" s="72"/>
      <c r="E37" s="72"/>
    </row>
    <row r="38" spans="4:5" x14ac:dyDescent="0.2">
      <c r="D38" s="72"/>
      <c r="E38" s="72"/>
    </row>
    <row r="39" spans="4:5" x14ac:dyDescent="0.2">
      <c r="D39" s="72"/>
      <c r="E39" s="72"/>
    </row>
    <row r="40" spans="4:5" x14ac:dyDescent="0.2">
      <c r="D40" s="72"/>
      <c r="E40" s="72"/>
    </row>
    <row r="41" spans="4:5" x14ac:dyDescent="0.2">
      <c r="D41" s="72"/>
      <c r="E41" s="72"/>
    </row>
    <row r="42" spans="4:5" x14ac:dyDescent="0.2">
      <c r="D42" s="72"/>
      <c r="E42" s="72"/>
    </row>
    <row r="43" spans="4:5" x14ac:dyDescent="0.2">
      <c r="D43" s="72"/>
      <c r="E43" s="72"/>
    </row>
    <row r="44" spans="4:5" x14ac:dyDescent="0.2">
      <c r="D44" s="72"/>
      <c r="E44" s="72"/>
    </row>
    <row r="45" spans="4:5" x14ac:dyDescent="0.2">
      <c r="D45" s="72"/>
      <c r="E45" s="72"/>
    </row>
    <row r="46" spans="4:5" x14ac:dyDescent="0.2">
      <c r="D46" s="72"/>
      <c r="E46" s="72"/>
    </row>
    <row r="47" spans="4:5" x14ac:dyDescent="0.2">
      <c r="D47" s="72"/>
      <c r="E47" s="72"/>
    </row>
    <row r="48" spans="4:5" x14ac:dyDescent="0.2">
      <c r="D48" s="72"/>
      <c r="E48" s="72"/>
    </row>
    <row r="49" spans="4:5" x14ac:dyDescent="0.2">
      <c r="D49" s="72"/>
      <c r="E49" s="72"/>
    </row>
    <row r="50" spans="4:5" x14ac:dyDescent="0.2">
      <c r="D50" s="72"/>
      <c r="E50" s="72"/>
    </row>
    <row r="51" spans="4:5" x14ac:dyDescent="0.2">
      <c r="D51" s="72"/>
      <c r="E51" s="72"/>
    </row>
    <row r="52" spans="4:5" x14ac:dyDescent="0.2">
      <c r="D52" s="72"/>
      <c r="E52" s="72"/>
    </row>
    <row r="53" spans="4:5" x14ac:dyDescent="0.2">
      <c r="D53" s="72"/>
      <c r="E53" s="72"/>
    </row>
    <row r="54" spans="4:5" x14ac:dyDescent="0.2">
      <c r="D54" s="72"/>
      <c r="E54" s="72"/>
    </row>
    <row r="55" spans="4:5" x14ac:dyDescent="0.2">
      <c r="D55" s="72"/>
      <c r="E55" s="72"/>
    </row>
    <row r="56" spans="4:5" x14ac:dyDescent="0.2">
      <c r="D56" s="72"/>
      <c r="E56" s="72"/>
    </row>
    <row r="57" spans="4:5" x14ac:dyDescent="0.2">
      <c r="D57" s="72"/>
      <c r="E57" s="72"/>
    </row>
    <row r="58" spans="4:5" x14ac:dyDescent="0.2">
      <c r="D58" s="72"/>
      <c r="E58" s="72"/>
    </row>
    <row r="59" spans="4:5" x14ac:dyDescent="0.2">
      <c r="D59" s="72"/>
      <c r="E59" s="72"/>
    </row>
    <row r="60" spans="4:5" x14ac:dyDescent="0.2">
      <c r="D60" s="72"/>
      <c r="E60" s="72"/>
    </row>
    <row r="61" spans="4:5" x14ac:dyDescent="0.2">
      <c r="D61" s="72"/>
      <c r="E61" s="72"/>
    </row>
    <row r="62" spans="4:5" x14ac:dyDescent="0.2">
      <c r="D62" s="72"/>
      <c r="E62" s="72"/>
    </row>
    <row r="63" spans="4:5" x14ac:dyDescent="0.2">
      <c r="D63" s="72"/>
      <c r="E63" s="72"/>
    </row>
    <row r="64" spans="4:5" x14ac:dyDescent="0.2">
      <c r="D64" s="72"/>
      <c r="E64" s="72"/>
    </row>
    <row r="65" spans="4:5" x14ac:dyDescent="0.2">
      <c r="D65" s="72"/>
      <c r="E65" s="72"/>
    </row>
    <row r="66" spans="4:5" x14ac:dyDescent="0.2">
      <c r="D66" s="72"/>
      <c r="E66" s="72"/>
    </row>
    <row r="67" spans="4:5" x14ac:dyDescent="0.2">
      <c r="D67" s="72"/>
      <c r="E67" s="72"/>
    </row>
    <row r="68" spans="4:5" x14ac:dyDescent="0.2">
      <c r="D68" s="72"/>
      <c r="E68" s="72"/>
    </row>
    <row r="69" spans="4:5" x14ac:dyDescent="0.2">
      <c r="D69" s="72"/>
      <c r="E69" s="72"/>
    </row>
    <row r="70" spans="4:5" x14ac:dyDescent="0.2">
      <c r="D70" s="72"/>
      <c r="E70" s="72"/>
    </row>
    <row r="71" spans="4:5" x14ac:dyDescent="0.2">
      <c r="D71" s="72"/>
      <c r="E71" s="72"/>
    </row>
    <row r="72" spans="4:5" x14ac:dyDescent="0.2">
      <c r="D72" s="72"/>
      <c r="E72" s="72"/>
    </row>
    <row r="73" spans="4:5" x14ac:dyDescent="0.2">
      <c r="D73" s="72"/>
      <c r="E73" s="72"/>
    </row>
    <row r="74" spans="4:5" x14ac:dyDescent="0.2">
      <c r="D74" s="72"/>
      <c r="E74" s="72"/>
    </row>
    <row r="75" spans="4:5" x14ac:dyDescent="0.2">
      <c r="D75" s="72"/>
      <c r="E75" s="72"/>
    </row>
    <row r="76" spans="4:5" x14ac:dyDescent="0.2">
      <c r="D76" s="72"/>
      <c r="E76" s="72"/>
    </row>
    <row r="77" spans="4:5" x14ac:dyDescent="0.2">
      <c r="D77" s="72"/>
      <c r="E77" s="72"/>
    </row>
    <row r="78" spans="4:5" x14ac:dyDescent="0.2">
      <c r="D78" s="72"/>
      <c r="E78" s="72"/>
    </row>
    <row r="79" spans="4:5" x14ac:dyDescent="0.2">
      <c r="D79" s="72"/>
      <c r="E79" s="72"/>
    </row>
    <row r="80" spans="4:5" x14ac:dyDescent="0.2">
      <c r="D80" s="72"/>
      <c r="E80" s="72"/>
    </row>
    <row r="81" spans="4:5" x14ac:dyDescent="0.2">
      <c r="D81" s="72"/>
      <c r="E81" s="72"/>
    </row>
    <row r="82" spans="4:5" x14ac:dyDescent="0.2">
      <c r="D82" s="72"/>
      <c r="E82" s="72"/>
    </row>
    <row r="83" spans="4:5" x14ac:dyDescent="0.2">
      <c r="D83" s="72"/>
      <c r="E83" s="72"/>
    </row>
    <row r="84" spans="4:5" x14ac:dyDescent="0.2">
      <c r="D84" s="72"/>
      <c r="E84" s="72"/>
    </row>
    <row r="85" spans="4:5" x14ac:dyDescent="0.2">
      <c r="D85" s="72"/>
      <c r="E85" s="72"/>
    </row>
    <row r="86" spans="4:5" x14ac:dyDescent="0.2">
      <c r="D86" s="72"/>
      <c r="E86" s="72"/>
    </row>
    <row r="87" spans="4:5" x14ac:dyDescent="0.2">
      <c r="D87" s="72"/>
      <c r="E87" s="72"/>
    </row>
    <row r="88" spans="4:5" x14ac:dyDescent="0.2">
      <c r="D88" s="72"/>
      <c r="E88" s="72"/>
    </row>
    <row r="89" spans="4:5" x14ac:dyDescent="0.2">
      <c r="D89" s="72"/>
      <c r="E89" s="72"/>
    </row>
    <row r="90" spans="4:5" x14ac:dyDescent="0.2">
      <c r="D90" s="72"/>
      <c r="E90" s="72"/>
    </row>
    <row r="91" spans="4:5" x14ac:dyDescent="0.2">
      <c r="D91" s="72"/>
      <c r="E91" s="72"/>
    </row>
    <row r="92" spans="4:5" x14ac:dyDescent="0.2">
      <c r="D92" s="72"/>
      <c r="E92" s="72"/>
    </row>
    <row r="93" spans="4:5" x14ac:dyDescent="0.2">
      <c r="D93" s="72"/>
      <c r="E93" s="72"/>
    </row>
    <row r="94" spans="4:5" x14ac:dyDescent="0.2">
      <c r="D94" s="72"/>
      <c r="E94" s="72"/>
    </row>
    <row r="95" spans="4:5" x14ac:dyDescent="0.2">
      <c r="D95" s="72"/>
      <c r="E95" s="72"/>
    </row>
    <row r="96" spans="4:5" x14ac:dyDescent="0.2">
      <c r="D96" s="72"/>
      <c r="E96" s="72"/>
    </row>
    <row r="97" spans="4:5" x14ac:dyDescent="0.2">
      <c r="D97" s="72"/>
      <c r="E97" s="72"/>
    </row>
    <row r="98" spans="4:5" x14ac:dyDescent="0.2">
      <c r="D98" s="72"/>
      <c r="E98" s="72"/>
    </row>
    <row r="99" spans="4:5" x14ac:dyDescent="0.2">
      <c r="D99" s="72"/>
      <c r="E99" s="72"/>
    </row>
    <row r="100" spans="4:5" x14ac:dyDescent="0.2">
      <c r="D100" s="72"/>
      <c r="E100" s="72"/>
    </row>
    <row r="101" spans="4:5" x14ac:dyDescent="0.2">
      <c r="D101" s="72"/>
      <c r="E101" s="72"/>
    </row>
    <row r="102" spans="4:5" x14ac:dyDescent="0.2">
      <c r="D102" s="72"/>
      <c r="E102" s="72"/>
    </row>
    <row r="103" spans="4:5" x14ac:dyDescent="0.2">
      <c r="D103" s="72"/>
      <c r="E103" s="72"/>
    </row>
  </sheetData>
  <sheetProtection algorithmName="SHA-512" hashValue="xabHVYBhWOYJ7ZBi9aZ/VKMPwAfwwpHpQx5bPAgJTuVxqkbFJ538Mp7hU55uYGNs/Sj1nphnL+ZBBaJenRZ5Gw==" saltValue="k1Ivs9KX3mQdt7VGgCYtiA==" spinCount="100000" sheet="1" objects="1" scenarios="1"/>
  <protectedRanges>
    <protectedRange sqref="C3:C4" name="Range1"/>
    <protectedRange sqref="F3:G3" name="Range2"/>
    <protectedRange sqref="K3:M8" name="Range3"/>
  </protectedRanges>
  <mergeCells count="1">
    <mergeCell ref="C1:D1"/>
  </mergeCells>
  <conditionalFormatting sqref="C5">
    <cfRule type="cellIs" dxfId="3" priority="1" operator="notEqual"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A48F-C6E2-449C-891B-F73AE10F1687}">
  <sheetPr codeName="Sheet3"/>
  <dimension ref="A1:BM195"/>
  <sheetViews>
    <sheetView topLeftCell="B1" zoomScale="115" zoomScaleNormal="115" workbookViewId="0">
      <selection activeCell="J3" sqref="J3"/>
    </sheetView>
  </sheetViews>
  <sheetFormatPr defaultColWidth="9.125" defaultRowHeight="14.25" x14ac:dyDescent="0.2"/>
  <cols>
    <col min="1" max="1" width="42.25" style="3" hidden="1" customWidth="1"/>
    <col min="2" max="2" width="23" style="42" customWidth="1"/>
    <col min="3" max="3" width="49.75" style="42" bestFit="1" customWidth="1"/>
    <col min="4" max="4" width="13.125" style="3" customWidth="1"/>
    <col min="5" max="5" width="8.625" style="36" customWidth="1"/>
    <col min="6" max="6" width="11.75" style="42" customWidth="1"/>
    <col min="7" max="7" width="11.75" style="3" customWidth="1"/>
    <col min="8" max="8" width="14" style="3" customWidth="1"/>
    <col min="9" max="19" width="11.75" style="3" customWidth="1"/>
    <col min="20" max="16384" width="9.125" style="3"/>
  </cols>
  <sheetData>
    <row r="1" spans="1:65" ht="36" customHeight="1" x14ac:dyDescent="0.2">
      <c r="B1" s="47" t="s">
        <v>135</v>
      </c>
      <c r="C1" s="47" t="s">
        <v>136</v>
      </c>
      <c r="D1" s="179" t="s">
        <v>137</v>
      </c>
      <c r="E1" s="179"/>
      <c r="F1" s="178" t="s">
        <v>138</v>
      </c>
      <c r="G1" s="178"/>
      <c r="H1" s="178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</row>
    <row r="2" spans="1:65" s="5" customFormat="1" ht="25.5" customHeight="1" x14ac:dyDescent="0.25">
      <c r="A2" s="4" t="s">
        <v>139</v>
      </c>
      <c r="B2" s="117" t="s">
        <v>12</v>
      </c>
      <c r="C2" s="117" t="s">
        <v>140</v>
      </c>
      <c r="D2" s="117" t="s">
        <v>141</v>
      </c>
      <c r="E2" s="49" t="s">
        <v>135</v>
      </c>
      <c r="F2" s="123" t="str">
        <f>'Projects List'!A5</f>
        <v>Park View</v>
      </c>
      <c r="G2" s="124" t="str" cm="1">
        <f t="array" aca="1" ref="G2" ca="1">INDIRECT("'Projects List'!A"&amp;5+COUNTA($F$2:F2))</f>
        <v>Details</v>
      </c>
      <c r="H2" s="124" t="str" cm="1">
        <f t="array" aca="1" ref="H2" ca="1">INDIRECT("'Projects List'!A"&amp;5+COUNTA($F$2:G2))</f>
        <v>Jevan Tower</v>
      </c>
      <c r="I2" s="37" t="str" cm="1">
        <f t="array" aca="1" ref="I2" ca="1">INDIRECT("'Projects List'!A"&amp;5+COUNTA($F$2:H2))</f>
        <v>Al Hamra Mixed Use TOD Project</v>
      </c>
      <c r="J2" s="37" cm="1">
        <f t="array" aca="1" ref="J2" ca="1">INDIRECT("'Projects List'!A"&amp;5+COUNTA($F$2:I2))</f>
        <v>0</v>
      </c>
      <c r="K2" s="37" cm="1">
        <f t="array" aca="1" ref="K2" ca="1">INDIRECT("'Projects List'!A"&amp;5+COUNTA($F$2:J2))</f>
        <v>0</v>
      </c>
      <c r="L2" s="37" cm="1">
        <f t="array" aca="1" ref="L2" ca="1">INDIRECT("'Projects List'!A"&amp;5+COUNTA($F$2:K2))</f>
        <v>0</v>
      </c>
      <c r="M2" s="37" cm="1">
        <f t="array" aca="1" ref="M2" ca="1">INDIRECT("'Projects List'!A"&amp;5+COUNTA($F$2:L2))</f>
        <v>0</v>
      </c>
      <c r="N2" s="37" cm="1">
        <f t="array" aca="1" ref="N2" ca="1">INDIRECT("'Projects List'!A"&amp;5+COUNTA($F$2:M2))</f>
        <v>0</v>
      </c>
      <c r="O2" s="37" cm="1">
        <f t="array" aca="1" ref="O2" ca="1">INDIRECT("'Projects List'!A"&amp;5+COUNTA($F$2:N2))</f>
        <v>0</v>
      </c>
      <c r="P2" s="37" cm="1">
        <f t="array" aca="1" ref="P2" ca="1">INDIRECT("'Projects List'!A"&amp;5+COUNTA($F$2:O2))</f>
        <v>0</v>
      </c>
      <c r="Q2" s="37" cm="1">
        <f t="array" aca="1" ref="Q2" ca="1">INDIRECT("'Projects List'!A"&amp;5+COUNTA($F$2:P2))</f>
        <v>0</v>
      </c>
      <c r="R2" s="37" cm="1">
        <f t="array" aca="1" ref="R2" ca="1">INDIRECT("'Projects List'!A"&amp;5+COUNTA($F$2:Q2))</f>
        <v>0</v>
      </c>
      <c r="S2" s="37" cm="1">
        <f t="array" aca="1" ref="S2" ca="1">INDIRECT("'Projects List'!A"&amp;5+COUNTA($F$2:R2))</f>
        <v>0</v>
      </c>
      <c r="T2" s="37" cm="1">
        <f t="array" aca="1" ref="T2" ca="1">INDIRECT("'Projects List'!A"&amp;5+COUNTA($F$2:S2))</f>
        <v>0</v>
      </c>
      <c r="U2" s="37" cm="1">
        <f t="array" aca="1" ref="U2" ca="1">INDIRECT("'Projects List'!A"&amp;5+COUNTA($F$2:T2))</f>
        <v>0</v>
      </c>
      <c r="V2" s="37" cm="1">
        <f t="array" aca="1" ref="V2" ca="1">INDIRECT("'Projects List'!A"&amp;5+COUNTA($F$2:U2))</f>
        <v>0</v>
      </c>
      <c r="W2" s="37" cm="1">
        <f t="array" aca="1" ref="W2" ca="1">INDIRECT("'Projects List'!A"&amp;5+COUNTA($F$2:V2))</f>
        <v>0</v>
      </c>
      <c r="X2" s="37" cm="1">
        <f t="array" aca="1" ref="X2" ca="1">INDIRECT("'Projects List'!A"&amp;5+COUNTA($F$2:W2))</f>
        <v>0</v>
      </c>
      <c r="Y2" s="37" cm="1">
        <f t="array" aca="1" ref="Y2" ca="1">INDIRECT("'Projects List'!A"&amp;5+COUNTA($F$2:X2))</f>
        <v>0</v>
      </c>
      <c r="Z2" s="37" cm="1">
        <f t="array" aca="1" ref="Z2" ca="1">INDIRECT("'Projects List'!A"&amp;5+COUNTA($F$2:Y2))</f>
        <v>0</v>
      </c>
      <c r="AA2" s="37" cm="1">
        <f t="array" aca="1" ref="AA2" ca="1">INDIRECT("'Projects List'!A"&amp;5+COUNTA($F$2:Z2))</f>
        <v>0</v>
      </c>
      <c r="AB2" s="37" cm="1">
        <f t="array" aca="1" ref="AB2" ca="1">INDIRECT("'Projects List'!A"&amp;5+COUNTA($F$2:AA2))</f>
        <v>0</v>
      </c>
      <c r="AC2" s="37" cm="1">
        <f t="array" aca="1" ref="AC2" ca="1">INDIRECT("'Projects List'!A"&amp;5+COUNTA($F$2:AB2))</f>
        <v>0</v>
      </c>
      <c r="AD2" s="37" cm="1">
        <f t="array" aca="1" ref="AD2" ca="1">INDIRECT("'Projects List'!A"&amp;5+COUNTA($F$2:AC2))</f>
        <v>0</v>
      </c>
      <c r="AE2" s="37" cm="1">
        <f t="array" aca="1" ref="AE2" ca="1">INDIRECT("'Projects List'!A"&amp;5+COUNTA($F$2:AD2))</f>
        <v>0</v>
      </c>
      <c r="AF2" s="37" cm="1">
        <f t="array" aca="1" ref="AF2" ca="1">INDIRECT("'Projects List'!A"&amp;5+COUNTA($F$2:AE2))</f>
        <v>0</v>
      </c>
      <c r="AG2" s="37" cm="1">
        <f t="array" aca="1" ref="AG2" ca="1">INDIRECT("'Projects List'!A"&amp;5+COUNTA($F$2:AF2))</f>
        <v>0</v>
      </c>
      <c r="AH2" s="37" cm="1">
        <f t="array" aca="1" ref="AH2" ca="1">INDIRECT("'Projects List'!A"&amp;5+COUNTA($F$2:AG2))</f>
        <v>0</v>
      </c>
      <c r="AI2" s="37" cm="1">
        <f t="array" aca="1" ref="AI2" ca="1">INDIRECT("'Projects List'!A"&amp;5+COUNTA($F$2:AH2))</f>
        <v>0</v>
      </c>
      <c r="AJ2" s="37" cm="1">
        <f t="array" aca="1" ref="AJ2" ca="1">INDIRECT("'Projects List'!A"&amp;5+COUNTA($F$2:AI2))</f>
        <v>0</v>
      </c>
      <c r="AK2" s="37" cm="1">
        <f t="array" aca="1" ref="AK2" ca="1">INDIRECT("'Projects List'!A"&amp;5+COUNTA($F$2:AJ2))</f>
        <v>0</v>
      </c>
      <c r="AL2" s="37" cm="1">
        <f t="array" aca="1" ref="AL2" ca="1">INDIRECT("'Projects List'!A"&amp;5+COUNTA($F$2:AK2))</f>
        <v>0</v>
      </c>
      <c r="AM2" s="37" cm="1">
        <f t="array" aca="1" ref="AM2" ca="1">INDIRECT("'Projects List'!A"&amp;5+COUNTA($F$2:AL2))</f>
        <v>0</v>
      </c>
      <c r="AN2" s="37" cm="1">
        <f t="array" aca="1" ref="AN2" ca="1">INDIRECT("'Projects List'!A"&amp;5+COUNTA($F$2:AM2))</f>
        <v>0</v>
      </c>
      <c r="AO2" s="37" cm="1">
        <f t="array" aca="1" ref="AO2" ca="1">INDIRECT("'Projects List'!A"&amp;5+COUNTA($F$2:AN2))</f>
        <v>0</v>
      </c>
      <c r="AP2" s="37" cm="1">
        <f t="array" aca="1" ref="AP2" ca="1">INDIRECT("'Projects List'!A"&amp;5+COUNTA($F$2:AO2))</f>
        <v>0</v>
      </c>
      <c r="AQ2" s="37" cm="1">
        <f t="array" aca="1" ref="AQ2" ca="1">INDIRECT("'Projects List'!A"&amp;5+COUNTA($F$2:AP2))</f>
        <v>0</v>
      </c>
      <c r="AR2" s="37" cm="1">
        <f t="array" aca="1" ref="AR2" ca="1">INDIRECT("'Projects List'!A"&amp;5+COUNTA($F$2:AQ2))</f>
        <v>0</v>
      </c>
      <c r="AS2" s="37" cm="1">
        <f t="array" aca="1" ref="AS2" ca="1">INDIRECT("'Projects List'!A"&amp;5+COUNTA($F$2:AR2))</f>
        <v>0</v>
      </c>
      <c r="AT2" s="37" cm="1">
        <f t="array" aca="1" ref="AT2" ca="1">INDIRECT("'Projects List'!A"&amp;5+COUNTA($F$2:AS2))</f>
        <v>0</v>
      </c>
      <c r="AU2" s="37" cm="1">
        <f t="array" aca="1" ref="AU2" ca="1">INDIRECT("'Projects List'!A"&amp;5+COUNTA($F$2:AT2))</f>
        <v>0</v>
      </c>
      <c r="AV2" s="37" cm="1">
        <f t="array" aca="1" ref="AV2" ca="1">INDIRECT("'Projects List'!A"&amp;5+COUNTA($F$2:AU2))</f>
        <v>0</v>
      </c>
      <c r="AW2" s="37" cm="1">
        <f t="array" aca="1" ref="AW2" ca="1">INDIRECT("'Projects List'!A"&amp;5+COUNTA($F$2:AV2))</f>
        <v>0</v>
      </c>
      <c r="AX2" s="37" cm="1">
        <f t="array" aca="1" ref="AX2" ca="1">INDIRECT("'Projects List'!A"&amp;5+COUNTA($F$2:AW2))</f>
        <v>0</v>
      </c>
      <c r="AY2" s="37" cm="1">
        <f t="array" aca="1" ref="AY2" ca="1">INDIRECT("'Projects List'!A"&amp;5+COUNTA($F$2:AX2))</f>
        <v>0</v>
      </c>
      <c r="AZ2" s="37" cm="1">
        <f t="array" aca="1" ref="AZ2" ca="1">INDIRECT("'Projects List'!A"&amp;5+COUNTA($F$2:AY2))</f>
        <v>0</v>
      </c>
      <c r="BA2" s="37" cm="1">
        <f t="array" aca="1" ref="BA2" ca="1">INDIRECT("'Projects List'!A"&amp;5+COUNTA($F$2:AZ2))</f>
        <v>0</v>
      </c>
      <c r="BB2" s="37" cm="1">
        <f t="array" aca="1" ref="BB2" ca="1">INDIRECT("'Projects List'!A"&amp;5+COUNTA($F$2:BA2))</f>
        <v>0</v>
      </c>
      <c r="BC2" s="37" cm="1">
        <f t="array" aca="1" ref="BC2" ca="1">INDIRECT("'Projects List'!A"&amp;5+COUNTA($F$2:BB2))</f>
        <v>0</v>
      </c>
      <c r="BD2" s="37" cm="1">
        <f t="array" aca="1" ref="BD2" ca="1">INDIRECT("'Projects List'!A"&amp;5+COUNTA($F$2:BC2))</f>
        <v>0</v>
      </c>
      <c r="BE2" s="37" cm="1">
        <f t="array" aca="1" ref="BE2" ca="1">INDIRECT("'Projects List'!A"&amp;5+COUNTA($F$2:BD2))</f>
        <v>0</v>
      </c>
      <c r="BF2" s="37" cm="1">
        <f t="array" aca="1" ref="BF2" ca="1">INDIRECT("'Projects List'!A"&amp;5+COUNTA($F$2:BE2))</f>
        <v>0</v>
      </c>
      <c r="BG2" s="37" cm="1">
        <f t="array" aca="1" ref="BG2" ca="1">INDIRECT("'Projects List'!A"&amp;5+COUNTA($F$2:BF2))</f>
        <v>0</v>
      </c>
      <c r="BH2" s="37" cm="1">
        <f t="array" aca="1" ref="BH2" ca="1">INDIRECT("'Projects List'!A"&amp;5+COUNTA($F$2:BG2))</f>
        <v>0</v>
      </c>
      <c r="BI2" s="37" cm="1">
        <f t="array" aca="1" ref="BI2" ca="1">INDIRECT("'Projects List'!A"&amp;5+COUNTA($F$2:BH2))</f>
        <v>0</v>
      </c>
      <c r="BJ2" s="37" cm="1">
        <f t="array" aca="1" ref="BJ2" ca="1">INDIRECT("'Projects List'!A"&amp;5+COUNTA($F$2:BI2))</f>
        <v>0</v>
      </c>
      <c r="BK2" s="37" cm="1">
        <f t="array" aca="1" ref="BK2" ca="1">INDIRECT("'Projects List'!A"&amp;5+COUNTA($F$2:BJ2))</f>
        <v>0</v>
      </c>
      <c r="BL2" s="37" cm="1">
        <f t="array" aca="1" ref="BL2" ca="1">INDIRECT("'Projects List'!A"&amp;5+COUNTA($F$2:BK2))</f>
        <v>0</v>
      </c>
      <c r="BM2" s="37" cm="1">
        <f t="array" aca="1" ref="BM2" ca="1">INDIRECT("'Projects List'!A"&amp;5+COUNTA($F$2:BL2))</f>
        <v>0</v>
      </c>
    </row>
    <row r="3" spans="1:65" s="39" customFormat="1" x14ac:dyDescent="0.2">
      <c r="A3" s="115" t="str">
        <f>B3&amp;" "&amp;C3</f>
        <v>Studies Working on - Studies</v>
      </c>
      <c r="B3" s="127" t="s">
        <v>16</v>
      </c>
      <c r="C3" s="144" t="s">
        <v>142</v>
      </c>
      <c r="D3" s="144" t="s">
        <v>143</v>
      </c>
      <c r="E3" s="36" t="str">
        <f>D3&amp;COUNTIF(D$3:D3,D3)</f>
        <v>Internal1</v>
      </c>
      <c r="F3" s="125">
        <v>15</v>
      </c>
      <c r="G3" s="125">
        <v>15</v>
      </c>
      <c r="H3" s="125">
        <v>15</v>
      </c>
      <c r="I3" s="125">
        <v>15</v>
      </c>
      <c r="J3" s="125">
        <v>15</v>
      </c>
      <c r="K3" s="125">
        <v>15</v>
      </c>
      <c r="L3" s="125">
        <v>15</v>
      </c>
      <c r="M3" s="125">
        <v>15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38"/>
    </row>
    <row r="4" spans="1:65" s="39" customFormat="1" x14ac:dyDescent="0.2">
      <c r="A4" s="115" t="str">
        <f t="shared" ref="A4:A145" si="0">B4&amp;" "&amp;C4</f>
        <v xml:space="preserve">Studies ReWorking  - Studies </v>
      </c>
      <c r="B4" s="127" t="s">
        <v>16</v>
      </c>
      <c r="C4" s="144" t="s">
        <v>144</v>
      </c>
      <c r="D4" s="144" t="s">
        <v>143</v>
      </c>
      <c r="E4" s="36" t="str">
        <f>D4&amp;COUNTIF(D$3:D4,D4)</f>
        <v>Internal2</v>
      </c>
      <c r="F4" s="126">
        <v>5</v>
      </c>
      <c r="G4" s="126">
        <v>5</v>
      </c>
      <c r="H4" s="126">
        <v>5</v>
      </c>
      <c r="I4" s="126">
        <v>5</v>
      </c>
      <c r="J4" s="126">
        <v>5</v>
      </c>
      <c r="K4" s="126">
        <v>5</v>
      </c>
      <c r="L4" s="126">
        <v>5</v>
      </c>
      <c r="M4" s="126">
        <v>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38"/>
    </row>
    <row r="5" spans="1:65" s="39" customFormat="1" x14ac:dyDescent="0.2">
      <c r="A5" s="115" t="str">
        <f t="shared" si="0"/>
        <v>Studies ReWorking   - Studies (VO)</v>
      </c>
      <c r="B5" s="127" t="s">
        <v>16</v>
      </c>
      <c r="C5" s="144" t="s">
        <v>145</v>
      </c>
      <c r="D5" s="144" t="s">
        <v>143</v>
      </c>
      <c r="E5" s="36" t="str">
        <f>D5&amp;COUNTIF(D$3:D5,D5)</f>
        <v>Internal3</v>
      </c>
      <c r="F5" s="126">
        <v>5</v>
      </c>
      <c r="G5" s="126">
        <v>5</v>
      </c>
      <c r="H5" s="126">
        <v>5</v>
      </c>
      <c r="I5" s="126">
        <v>5</v>
      </c>
      <c r="J5" s="126">
        <v>5</v>
      </c>
      <c r="K5" s="126">
        <v>5</v>
      </c>
      <c r="L5" s="126">
        <v>5</v>
      </c>
      <c r="M5" s="126">
        <v>5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38"/>
    </row>
    <row r="6" spans="1:65" s="39" customFormat="1" x14ac:dyDescent="0.2">
      <c r="A6" s="115" t="str">
        <f t="shared" si="0"/>
        <v>Studies Review and Comment - Studies</v>
      </c>
      <c r="B6" s="127" t="s">
        <v>16</v>
      </c>
      <c r="C6" s="145" t="s">
        <v>146</v>
      </c>
      <c r="D6" s="144" t="s">
        <v>19</v>
      </c>
      <c r="E6" s="36" t="str">
        <f>D6&amp;COUNTIF(D$3:D6,D6)</f>
        <v>Client1</v>
      </c>
      <c r="F6" s="125">
        <v>5</v>
      </c>
      <c r="G6" s="125">
        <v>5</v>
      </c>
      <c r="H6" s="125">
        <v>5</v>
      </c>
      <c r="I6" s="125">
        <v>5</v>
      </c>
      <c r="J6" s="125">
        <v>5</v>
      </c>
      <c r="K6" s="125">
        <v>5</v>
      </c>
      <c r="L6" s="125">
        <v>5</v>
      </c>
      <c r="M6" s="125">
        <v>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38"/>
    </row>
    <row r="7" spans="1:65" s="39" customFormat="1" x14ac:dyDescent="0.2">
      <c r="A7" s="115" t="str">
        <f t="shared" si="0"/>
        <v>Studies Approved - Studies</v>
      </c>
      <c r="B7" s="127" t="s">
        <v>16</v>
      </c>
      <c r="C7" s="144" t="s">
        <v>147</v>
      </c>
      <c r="D7" s="144" t="s">
        <v>19</v>
      </c>
      <c r="E7" s="36" t="str">
        <f>D7&amp;COUNTIF(D$3:D7,D7)</f>
        <v>Client2</v>
      </c>
      <c r="F7" s="125">
        <v>5</v>
      </c>
      <c r="G7" s="125">
        <v>5</v>
      </c>
      <c r="H7" s="125">
        <v>5</v>
      </c>
      <c r="I7" s="125">
        <v>5</v>
      </c>
      <c r="J7" s="125">
        <v>5</v>
      </c>
      <c r="K7" s="125">
        <v>5</v>
      </c>
      <c r="L7" s="125">
        <v>5</v>
      </c>
      <c r="M7" s="125">
        <v>5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38"/>
    </row>
    <row r="8" spans="1:65" s="39" customFormat="1" x14ac:dyDescent="0.2">
      <c r="A8" s="115"/>
      <c r="B8" s="140" t="s">
        <v>24</v>
      </c>
      <c r="C8" s="146" t="s">
        <v>148</v>
      </c>
      <c r="D8" s="146" t="s">
        <v>143</v>
      </c>
      <c r="E8" s="36" t="str">
        <f>D8&amp;COUNTIF(D$3:D8,D8)</f>
        <v>Internal4</v>
      </c>
      <c r="F8" s="142">
        <v>20</v>
      </c>
      <c r="G8" s="142">
        <v>20</v>
      </c>
      <c r="H8" s="142">
        <v>20</v>
      </c>
      <c r="I8" s="142">
        <v>20</v>
      </c>
      <c r="J8" s="142">
        <v>20</v>
      </c>
      <c r="K8" s="142">
        <v>20</v>
      </c>
      <c r="L8" s="142">
        <v>20</v>
      </c>
      <c r="M8" s="142">
        <v>20</v>
      </c>
      <c r="N8" s="41"/>
      <c r="O8" s="41"/>
      <c r="P8" s="41"/>
      <c r="Q8" s="41"/>
      <c r="R8" s="41"/>
      <c r="S8" s="41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38"/>
    </row>
    <row r="9" spans="1:65" s="39" customFormat="1" x14ac:dyDescent="0.2">
      <c r="A9" s="115" t="str">
        <f t="shared" si="0"/>
        <v>Design ReWorking  - Design 25%</v>
      </c>
      <c r="B9" s="140" t="s">
        <v>24</v>
      </c>
      <c r="C9" s="146" t="s">
        <v>149</v>
      </c>
      <c r="D9" s="146" t="s">
        <v>143</v>
      </c>
      <c r="E9" s="36" t="str">
        <f>D9&amp;COUNTIF(D$3:D9,D9)</f>
        <v>Internal5</v>
      </c>
      <c r="F9" s="142">
        <v>10</v>
      </c>
      <c r="G9" s="142">
        <v>10</v>
      </c>
      <c r="H9" s="142">
        <v>10</v>
      </c>
      <c r="I9" s="142">
        <v>10</v>
      </c>
      <c r="J9" s="142">
        <v>10</v>
      </c>
      <c r="K9" s="142">
        <v>10</v>
      </c>
      <c r="L9" s="142">
        <v>10</v>
      </c>
      <c r="M9" s="142">
        <v>10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38"/>
    </row>
    <row r="10" spans="1:65" s="39" customFormat="1" x14ac:dyDescent="0.2">
      <c r="A10" s="115"/>
      <c r="B10" s="140" t="s">
        <v>24</v>
      </c>
      <c r="C10" s="146" t="s">
        <v>150</v>
      </c>
      <c r="D10" s="146" t="s">
        <v>143</v>
      </c>
      <c r="E10" s="36" t="str">
        <f>D10&amp;COUNTIF(D$3:D10,D10)</f>
        <v>Internal6</v>
      </c>
      <c r="F10" s="142">
        <v>10</v>
      </c>
      <c r="G10" s="142">
        <v>10</v>
      </c>
      <c r="H10" s="142">
        <v>10</v>
      </c>
      <c r="I10" s="142">
        <v>10</v>
      </c>
      <c r="J10" s="142">
        <v>10</v>
      </c>
      <c r="K10" s="142">
        <v>10</v>
      </c>
      <c r="L10" s="142">
        <v>10</v>
      </c>
      <c r="M10" s="142">
        <v>10</v>
      </c>
      <c r="N10" s="40"/>
      <c r="O10" s="40"/>
      <c r="P10" s="40"/>
      <c r="Q10" s="40"/>
      <c r="R10" s="40"/>
      <c r="S10" s="40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38"/>
    </row>
    <row r="11" spans="1:65" s="39" customFormat="1" x14ac:dyDescent="0.2">
      <c r="A11" s="115"/>
      <c r="B11" s="140" t="s">
        <v>24</v>
      </c>
      <c r="C11" s="147" t="s">
        <v>151</v>
      </c>
      <c r="D11" s="146" t="s">
        <v>19</v>
      </c>
      <c r="E11" s="36" t="str">
        <f>D11&amp;COUNTIF(D$3:D11,D11)</f>
        <v>Client3</v>
      </c>
      <c r="F11" s="142">
        <v>5</v>
      </c>
      <c r="G11" s="142">
        <v>5</v>
      </c>
      <c r="H11" s="142">
        <v>5</v>
      </c>
      <c r="I11" s="142">
        <v>5</v>
      </c>
      <c r="J11" s="142">
        <v>5</v>
      </c>
      <c r="K11" s="142">
        <v>5</v>
      </c>
      <c r="L11" s="142">
        <v>5</v>
      </c>
      <c r="M11" s="142">
        <v>5</v>
      </c>
      <c r="N11" s="40"/>
      <c r="O11" s="40"/>
      <c r="P11" s="40"/>
      <c r="Q11" s="40"/>
      <c r="R11" s="40"/>
      <c r="S11" s="40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38"/>
    </row>
    <row r="12" spans="1:65" s="39" customFormat="1" x14ac:dyDescent="0.2">
      <c r="A12" s="116"/>
      <c r="B12" s="153" t="s">
        <v>24</v>
      </c>
      <c r="C12" s="154" t="s">
        <v>152</v>
      </c>
      <c r="D12" s="154" t="s">
        <v>19</v>
      </c>
      <c r="E12" s="36" t="str">
        <f>D12&amp;COUNTIF(D$3:D12,D12)</f>
        <v>Client4</v>
      </c>
      <c r="F12" s="155">
        <v>1</v>
      </c>
      <c r="G12" s="155">
        <v>1</v>
      </c>
      <c r="H12" s="155">
        <v>1</v>
      </c>
      <c r="I12" s="155">
        <v>1</v>
      </c>
      <c r="J12" s="155">
        <v>1</v>
      </c>
      <c r="K12" s="155">
        <v>1</v>
      </c>
      <c r="L12" s="155">
        <v>1</v>
      </c>
      <c r="M12" s="155">
        <v>1</v>
      </c>
      <c r="N12" s="40"/>
      <c r="O12" s="40"/>
      <c r="P12" s="40"/>
      <c r="Q12" s="40"/>
      <c r="R12" s="40"/>
      <c r="S12" s="40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38"/>
    </row>
    <row r="13" spans="1:65" s="39" customFormat="1" x14ac:dyDescent="0.2">
      <c r="A13" s="115" t="str">
        <f t="shared" si="0"/>
        <v>Design Working on - Design 50%</v>
      </c>
      <c r="B13" s="140" t="s">
        <v>24</v>
      </c>
      <c r="C13" s="146" t="s">
        <v>153</v>
      </c>
      <c r="D13" s="146" t="s">
        <v>143</v>
      </c>
      <c r="E13" s="36" t="str">
        <f>D13&amp;COUNTIF(D$3:D13,D13)</f>
        <v>Internal7</v>
      </c>
      <c r="F13" s="142">
        <v>20</v>
      </c>
      <c r="G13" s="142">
        <v>20</v>
      </c>
      <c r="H13" s="142">
        <v>20</v>
      </c>
      <c r="I13" s="142">
        <v>20</v>
      </c>
      <c r="J13" s="142">
        <v>20</v>
      </c>
      <c r="K13" s="142">
        <v>20</v>
      </c>
      <c r="L13" s="142">
        <v>20</v>
      </c>
      <c r="M13" s="142">
        <v>20</v>
      </c>
      <c r="N13" s="40"/>
      <c r="O13" s="40"/>
      <c r="P13" s="40"/>
      <c r="Q13" s="40"/>
      <c r="R13" s="40"/>
      <c r="S13" s="40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38"/>
    </row>
    <row r="14" spans="1:65" s="39" customFormat="1" x14ac:dyDescent="0.2">
      <c r="A14" s="115"/>
      <c r="B14" s="140" t="s">
        <v>24</v>
      </c>
      <c r="C14" s="146" t="s">
        <v>154</v>
      </c>
      <c r="D14" s="146" t="s">
        <v>143</v>
      </c>
      <c r="E14" s="36" t="str">
        <f>D14&amp;COUNTIF(D$3:D14,D14)</f>
        <v>Internal8</v>
      </c>
      <c r="F14" s="142">
        <v>10</v>
      </c>
      <c r="G14" s="142">
        <v>10</v>
      </c>
      <c r="H14" s="142">
        <v>10</v>
      </c>
      <c r="I14" s="142">
        <v>10</v>
      </c>
      <c r="J14" s="142">
        <v>10</v>
      </c>
      <c r="K14" s="142">
        <v>10</v>
      </c>
      <c r="L14" s="142">
        <v>10</v>
      </c>
      <c r="M14" s="142">
        <v>10</v>
      </c>
      <c r="N14" s="40"/>
      <c r="O14" s="40"/>
      <c r="P14" s="40"/>
      <c r="Q14" s="40"/>
      <c r="R14" s="40"/>
      <c r="S14" s="40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38"/>
    </row>
    <row r="15" spans="1:65" s="39" customFormat="1" x14ac:dyDescent="0.2">
      <c r="A15" s="115" t="str">
        <f t="shared" si="0"/>
        <v>Design ReWorking - Design 50% (VO)</v>
      </c>
      <c r="B15" s="140" t="s">
        <v>24</v>
      </c>
      <c r="C15" s="146" t="s">
        <v>155</v>
      </c>
      <c r="D15" s="146" t="s">
        <v>143</v>
      </c>
      <c r="E15" s="36" t="str">
        <f>D15&amp;COUNTIF(D$3:D15,D15)</f>
        <v>Internal9</v>
      </c>
      <c r="F15" s="142">
        <v>10</v>
      </c>
      <c r="G15" s="142">
        <v>10</v>
      </c>
      <c r="H15" s="142">
        <v>10</v>
      </c>
      <c r="I15" s="142">
        <v>10</v>
      </c>
      <c r="J15" s="142">
        <v>10</v>
      </c>
      <c r="K15" s="142">
        <v>10</v>
      </c>
      <c r="L15" s="142">
        <v>10</v>
      </c>
      <c r="M15" s="142">
        <v>10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38"/>
    </row>
    <row r="16" spans="1:65" s="39" customFormat="1" x14ac:dyDescent="0.2">
      <c r="A16" s="115" t="str">
        <f t="shared" si="0"/>
        <v>Design Review and Comment - Design 50%</v>
      </c>
      <c r="B16" s="140" t="s">
        <v>24</v>
      </c>
      <c r="C16" s="147" t="s">
        <v>156</v>
      </c>
      <c r="D16" s="146" t="s">
        <v>19</v>
      </c>
      <c r="E16" s="36" t="str">
        <f>D16&amp;COUNTIF(D$3:D16,D16)</f>
        <v>Client5</v>
      </c>
      <c r="F16" s="142">
        <v>5</v>
      </c>
      <c r="G16" s="142">
        <v>5</v>
      </c>
      <c r="H16" s="142">
        <v>5</v>
      </c>
      <c r="I16" s="142">
        <v>5</v>
      </c>
      <c r="J16" s="142">
        <v>5</v>
      </c>
      <c r="K16" s="142">
        <v>5</v>
      </c>
      <c r="L16" s="142">
        <v>5</v>
      </c>
      <c r="M16" s="142">
        <v>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38"/>
    </row>
    <row r="17" spans="1:65" s="39" customFormat="1" x14ac:dyDescent="0.2">
      <c r="A17" s="115" t="str">
        <f t="shared" si="0"/>
        <v xml:space="preserve">Design Approved - Design 50% </v>
      </c>
      <c r="B17" s="153" t="s">
        <v>24</v>
      </c>
      <c r="C17" s="154" t="s">
        <v>157</v>
      </c>
      <c r="D17" s="154" t="s">
        <v>19</v>
      </c>
      <c r="E17" s="36" t="str">
        <f>D17&amp;COUNTIF(D$3:D17,D17)</f>
        <v>Client6</v>
      </c>
      <c r="F17" s="155">
        <v>1</v>
      </c>
      <c r="G17" s="155">
        <v>1</v>
      </c>
      <c r="H17" s="155">
        <v>1</v>
      </c>
      <c r="I17" s="155">
        <v>1</v>
      </c>
      <c r="J17" s="155">
        <v>1</v>
      </c>
      <c r="K17" s="155">
        <v>1</v>
      </c>
      <c r="L17" s="155">
        <v>1</v>
      </c>
      <c r="M17" s="155">
        <v>1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38"/>
    </row>
    <row r="18" spans="1:65" s="39" customFormat="1" x14ac:dyDescent="0.2">
      <c r="A18" s="115"/>
      <c r="B18" s="140" t="s">
        <v>24</v>
      </c>
      <c r="C18" s="146" t="s">
        <v>158</v>
      </c>
      <c r="D18" s="146" t="s">
        <v>143</v>
      </c>
      <c r="E18" s="36" t="str">
        <f>D18&amp;COUNTIF(D$3:D18,D18)</f>
        <v>Internal10</v>
      </c>
      <c r="F18" s="142">
        <v>20</v>
      </c>
      <c r="G18" s="142">
        <v>20</v>
      </c>
      <c r="H18" s="142">
        <v>20</v>
      </c>
      <c r="I18" s="142">
        <v>20</v>
      </c>
      <c r="J18" s="142">
        <v>20</v>
      </c>
      <c r="K18" s="142">
        <v>20</v>
      </c>
      <c r="L18" s="142">
        <v>20</v>
      </c>
      <c r="M18" s="142">
        <v>20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38"/>
    </row>
    <row r="19" spans="1:65" s="39" customFormat="1" x14ac:dyDescent="0.2">
      <c r="A19" s="115"/>
      <c r="B19" s="140" t="s">
        <v>24</v>
      </c>
      <c r="C19" s="146" t="s">
        <v>159</v>
      </c>
      <c r="D19" s="146" t="s">
        <v>143</v>
      </c>
      <c r="E19" s="36" t="str">
        <f>D19&amp;COUNTIF(D$3:D19,D19)</f>
        <v>Internal11</v>
      </c>
      <c r="F19" s="142">
        <v>10</v>
      </c>
      <c r="G19" s="142">
        <v>10</v>
      </c>
      <c r="H19" s="142">
        <v>10</v>
      </c>
      <c r="I19" s="142">
        <v>10</v>
      </c>
      <c r="J19" s="142">
        <v>10</v>
      </c>
      <c r="K19" s="142">
        <v>10</v>
      </c>
      <c r="L19" s="142">
        <v>10</v>
      </c>
      <c r="M19" s="142">
        <v>10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38"/>
    </row>
    <row r="20" spans="1:65" s="39" customFormat="1" x14ac:dyDescent="0.2">
      <c r="A20" s="115"/>
      <c r="B20" s="140" t="s">
        <v>24</v>
      </c>
      <c r="C20" s="146" t="s">
        <v>160</v>
      </c>
      <c r="D20" s="146" t="s">
        <v>143</v>
      </c>
      <c r="E20" s="36" t="str">
        <f>D20&amp;COUNTIF(D$3:D20,D20)</f>
        <v>Internal12</v>
      </c>
      <c r="F20" s="142">
        <v>10</v>
      </c>
      <c r="G20" s="142">
        <v>10</v>
      </c>
      <c r="H20" s="142">
        <v>10</v>
      </c>
      <c r="I20" s="142">
        <v>10</v>
      </c>
      <c r="J20" s="142">
        <v>10</v>
      </c>
      <c r="K20" s="142">
        <v>10</v>
      </c>
      <c r="L20" s="142">
        <v>10</v>
      </c>
      <c r="M20" s="142">
        <v>10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38"/>
    </row>
    <row r="21" spans="1:65" s="39" customFormat="1" x14ac:dyDescent="0.2">
      <c r="A21" s="115"/>
      <c r="B21" s="140" t="s">
        <v>24</v>
      </c>
      <c r="C21" s="147" t="s">
        <v>161</v>
      </c>
      <c r="D21" s="146" t="s">
        <v>19</v>
      </c>
      <c r="E21" s="36" t="str">
        <f>D21&amp;COUNTIF(D$3:D21,D21)</f>
        <v>Client7</v>
      </c>
      <c r="F21" s="142">
        <v>5</v>
      </c>
      <c r="G21" s="142">
        <v>5</v>
      </c>
      <c r="H21" s="142">
        <v>5</v>
      </c>
      <c r="I21" s="142">
        <v>5</v>
      </c>
      <c r="J21" s="142">
        <v>5</v>
      </c>
      <c r="K21" s="142">
        <v>5</v>
      </c>
      <c r="L21" s="142">
        <v>5</v>
      </c>
      <c r="M21" s="142">
        <v>5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38"/>
    </row>
    <row r="22" spans="1:65" s="39" customFormat="1" x14ac:dyDescent="0.2">
      <c r="A22" s="115"/>
      <c r="B22" s="153" t="s">
        <v>24</v>
      </c>
      <c r="C22" s="154" t="s">
        <v>162</v>
      </c>
      <c r="D22" s="154" t="s">
        <v>19</v>
      </c>
      <c r="E22" s="36" t="str">
        <f>D22&amp;COUNTIF(D$3:D22,D22)</f>
        <v>Client8</v>
      </c>
      <c r="F22" s="155">
        <v>1</v>
      </c>
      <c r="G22" s="155">
        <v>1</v>
      </c>
      <c r="H22" s="155">
        <v>1</v>
      </c>
      <c r="I22" s="155">
        <v>1</v>
      </c>
      <c r="J22" s="155">
        <v>1</v>
      </c>
      <c r="K22" s="155">
        <v>1</v>
      </c>
      <c r="L22" s="155">
        <v>1</v>
      </c>
      <c r="M22" s="155">
        <v>1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38"/>
    </row>
    <row r="23" spans="1:65" s="39" customFormat="1" x14ac:dyDescent="0.2">
      <c r="A23" s="115"/>
      <c r="B23" s="140" t="s">
        <v>24</v>
      </c>
      <c r="C23" s="146" t="s">
        <v>163</v>
      </c>
      <c r="D23" s="146" t="s">
        <v>143</v>
      </c>
      <c r="E23" s="36" t="str">
        <f>D23&amp;COUNTIF(D$3:D23,D23)</f>
        <v>Internal13</v>
      </c>
      <c r="F23" s="142">
        <v>20</v>
      </c>
      <c r="G23" s="142">
        <v>20</v>
      </c>
      <c r="H23" s="142">
        <v>20</v>
      </c>
      <c r="I23" s="142">
        <v>20</v>
      </c>
      <c r="J23" s="142">
        <v>20</v>
      </c>
      <c r="K23" s="142">
        <v>20</v>
      </c>
      <c r="L23" s="142">
        <v>20</v>
      </c>
      <c r="M23" s="142">
        <v>20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38"/>
    </row>
    <row r="24" spans="1:65" s="39" customFormat="1" x14ac:dyDescent="0.2">
      <c r="A24" s="115"/>
      <c r="B24" s="140" t="s">
        <v>24</v>
      </c>
      <c r="C24" s="146" t="s">
        <v>164</v>
      </c>
      <c r="D24" s="146" t="s">
        <v>143</v>
      </c>
      <c r="E24" s="36" t="str">
        <f>D24&amp;COUNTIF(D$3:D24,D24)</f>
        <v>Internal14</v>
      </c>
      <c r="F24" s="142">
        <v>10</v>
      </c>
      <c r="G24" s="142">
        <v>10</v>
      </c>
      <c r="H24" s="142">
        <v>10</v>
      </c>
      <c r="I24" s="142">
        <v>10</v>
      </c>
      <c r="J24" s="142">
        <v>10</v>
      </c>
      <c r="K24" s="142">
        <v>10</v>
      </c>
      <c r="L24" s="142">
        <v>10</v>
      </c>
      <c r="M24" s="142">
        <v>10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38"/>
    </row>
    <row r="25" spans="1:65" s="39" customFormat="1" x14ac:dyDescent="0.2">
      <c r="A25" s="115"/>
      <c r="B25" s="140" t="s">
        <v>24</v>
      </c>
      <c r="C25" s="146" t="s">
        <v>165</v>
      </c>
      <c r="D25" s="146" t="s">
        <v>143</v>
      </c>
      <c r="E25" s="36" t="str">
        <f>D25&amp;COUNTIF(D$3:D25,D25)</f>
        <v>Internal15</v>
      </c>
      <c r="F25" s="142">
        <v>10</v>
      </c>
      <c r="G25" s="142">
        <v>10</v>
      </c>
      <c r="H25" s="142">
        <v>10</v>
      </c>
      <c r="I25" s="142">
        <v>10</v>
      </c>
      <c r="J25" s="142">
        <v>10</v>
      </c>
      <c r="K25" s="142">
        <v>10</v>
      </c>
      <c r="L25" s="142">
        <v>10</v>
      </c>
      <c r="M25" s="142">
        <v>10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38"/>
    </row>
    <row r="26" spans="1:65" s="39" customFormat="1" x14ac:dyDescent="0.2">
      <c r="A26" s="115"/>
      <c r="B26" s="140" t="s">
        <v>24</v>
      </c>
      <c r="C26" s="147" t="s">
        <v>166</v>
      </c>
      <c r="D26" s="146" t="s">
        <v>19</v>
      </c>
      <c r="E26" s="36" t="str">
        <f>D26&amp;COUNTIF(D$3:D26,D26)</f>
        <v>Client9</v>
      </c>
      <c r="F26" s="142">
        <v>5</v>
      </c>
      <c r="G26" s="142">
        <v>5</v>
      </c>
      <c r="H26" s="142">
        <v>5</v>
      </c>
      <c r="I26" s="142">
        <v>5</v>
      </c>
      <c r="J26" s="142">
        <v>5</v>
      </c>
      <c r="K26" s="142">
        <v>5</v>
      </c>
      <c r="L26" s="142">
        <v>5</v>
      </c>
      <c r="M26" s="142">
        <v>5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38"/>
    </row>
    <row r="27" spans="1:65" s="39" customFormat="1" x14ac:dyDescent="0.2">
      <c r="A27" s="115"/>
      <c r="B27" s="153" t="s">
        <v>24</v>
      </c>
      <c r="C27" s="154" t="s">
        <v>167</v>
      </c>
      <c r="D27" s="154" t="s">
        <v>19</v>
      </c>
      <c r="E27" s="36" t="str">
        <f>D27&amp;COUNTIF(D$3:D27,D27)</f>
        <v>Client10</v>
      </c>
      <c r="F27" s="155">
        <v>1</v>
      </c>
      <c r="G27" s="155">
        <v>1</v>
      </c>
      <c r="H27" s="155">
        <v>1</v>
      </c>
      <c r="I27" s="155">
        <v>1</v>
      </c>
      <c r="J27" s="155">
        <v>1</v>
      </c>
      <c r="K27" s="155">
        <v>1</v>
      </c>
      <c r="L27" s="155">
        <v>1</v>
      </c>
      <c r="M27" s="155">
        <v>1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38"/>
    </row>
    <row r="28" spans="1:65" s="39" customFormat="1" x14ac:dyDescent="0.2">
      <c r="A28" s="115"/>
      <c r="B28" s="140" t="s">
        <v>24</v>
      </c>
      <c r="C28" s="146" t="s">
        <v>168</v>
      </c>
      <c r="D28" s="146" t="s">
        <v>169</v>
      </c>
      <c r="E28" s="36" t="str">
        <f>D28&amp;COUNTIF(D$3:D28,D28)</f>
        <v>Government1</v>
      </c>
      <c r="F28" s="142">
        <v>1</v>
      </c>
      <c r="G28" s="142">
        <v>1</v>
      </c>
      <c r="H28" s="142">
        <v>1</v>
      </c>
      <c r="I28" s="142">
        <v>1</v>
      </c>
      <c r="J28" s="142">
        <v>1</v>
      </c>
      <c r="K28" s="142">
        <v>1</v>
      </c>
      <c r="L28" s="142">
        <v>1</v>
      </c>
      <c r="M28" s="142">
        <v>1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38"/>
    </row>
    <row r="29" spans="1:65" s="39" customFormat="1" x14ac:dyDescent="0.2">
      <c r="A29" s="115"/>
      <c r="B29" s="140" t="s">
        <v>24</v>
      </c>
      <c r="C29" s="146" t="s">
        <v>170</v>
      </c>
      <c r="D29" s="146" t="s">
        <v>169</v>
      </c>
      <c r="E29" s="36" t="str">
        <f>D29&amp;COUNTIF(D$3:D29,D29)</f>
        <v>Government2</v>
      </c>
      <c r="F29" s="142">
        <v>10</v>
      </c>
      <c r="G29" s="142">
        <v>10</v>
      </c>
      <c r="H29" s="142">
        <v>10</v>
      </c>
      <c r="I29" s="142">
        <v>10</v>
      </c>
      <c r="J29" s="142">
        <v>10</v>
      </c>
      <c r="K29" s="142">
        <v>10</v>
      </c>
      <c r="L29" s="142">
        <v>10</v>
      </c>
      <c r="M29" s="142">
        <v>10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38"/>
    </row>
    <row r="30" spans="1:65" s="39" customFormat="1" x14ac:dyDescent="0.2">
      <c r="A30" s="115"/>
      <c r="B30" s="153" t="s">
        <v>24</v>
      </c>
      <c r="C30" s="156" t="s">
        <v>171</v>
      </c>
      <c r="D30" s="154" t="s">
        <v>169</v>
      </c>
      <c r="E30" s="36" t="str">
        <f>D30&amp;COUNTIF(D$3:D30,D30)</f>
        <v>Government3</v>
      </c>
      <c r="F30" s="155">
        <v>90</v>
      </c>
      <c r="G30" s="155">
        <v>90</v>
      </c>
      <c r="H30" s="155">
        <v>90</v>
      </c>
      <c r="I30" s="155">
        <v>90</v>
      </c>
      <c r="J30" s="155">
        <v>90</v>
      </c>
      <c r="K30" s="155">
        <v>90</v>
      </c>
      <c r="L30" s="155">
        <v>90</v>
      </c>
      <c r="M30" s="155">
        <v>90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38"/>
    </row>
    <row r="31" spans="1:65" s="39" customFormat="1" x14ac:dyDescent="0.2">
      <c r="A31" s="115"/>
      <c r="B31" s="157" t="s">
        <v>24</v>
      </c>
      <c r="C31" s="158" t="s">
        <v>172</v>
      </c>
      <c r="D31" s="159" t="s">
        <v>19</v>
      </c>
      <c r="E31" s="36" t="str">
        <f>D31&amp;COUNTIF(D$3:D31,D31)</f>
        <v>Client11</v>
      </c>
      <c r="F31" s="160">
        <v>10</v>
      </c>
      <c r="G31" s="160">
        <v>10</v>
      </c>
      <c r="H31" s="160">
        <v>10</v>
      </c>
      <c r="I31" s="160">
        <v>10</v>
      </c>
      <c r="J31" s="160">
        <v>10</v>
      </c>
      <c r="K31" s="160">
        <v>10</v>
      </c>
      <c r="L31" s="160">
        <v>10</v>
      </c>
      <c r="M31" s="160">
        <v>10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38"/>
    </row>
    <row r="32" spans="1:65" s="39" customFormat="1" x14ac:dyDescent="0.2">
      <c r="A32" s="115"/>
      <c r="B32" s="163" t="s">
        <v>32</v>
      </c>
      <c r="C32" s="164" t="s">
        <v>173</v>
      </c>
      <c r="D32" s="165" t="s">
        <v>143</v>
      </c>
      <c r="E32" s="36" t="str">
        <f>D32&amp;COUNTIF(D$3:D32,D32)</f>
        <v>Internal16</v>
      </c>
      <c r="F32" s="163">
        <v>5</v>
      </c>
      <c r="G32" s="163">
        <v>5</v>
      </c>
      <c r="H32" s="163">
        <v>5</v>
      </c>
      <c r="I32" s="163">
        <v>5</v>
      </c>
      <c r="J32" s="163">
        <v>5</v>
      </c>
      <c r="K32" s="163">
        <v>5</v>
      </c>
      <c r="L32" s="163">
        <v>5</v>
      </c>
      <c r="M32" s="163">
        <v>5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38"/>
    </row>
    <row r="33" spans="1:65" s="39" customFormat="1" x14ac:dyDescent="0.2">
      <c r="A33" s="115"/>
      <c r="B33" s="118" t="s">
        <v>32</v>
      </c>
      <c r="C33" s="148" t="s">
        <v>174</v>
      </c>
      <c r="D33" s="151" t="s">
        <v>143</v>
      </c>
      <c r="E33" s="36" t="str">
        <f>D33&amp;COUNTIF(D$3:D33,D33)</f>
        <v>Internal17</v>
      </c>
      <c r="F33" s="118">
        <v>20</v>
      </c>
      <c r="G33" s="118">
        <v>20</v>
      </c>
      <c r="H33" s="118">
        <v>20</v>
      </c>
      <c r="I33" s="118">
        <v>20</v>
      </c>
      <c r="J33" s="118">
        <v>20</v>
      </c>
      <c r="K33" s="118">
        <v>20</v>
      </c>
      <c r="L33" s="118">
        <v>20</v>
      </c>
      <c r="M33" s="118">
        <v>20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38"/>
    </row>
    <row r="34" spans="1:65" s="39" customFormat="1" x14ac:dyDescent="0.2">
      <c r="A34" s="115"/>
      <c r="B34" s="118" t="s">
        <v>32</v>
      </c>
      <c r="C34" s="149" t="s">
        <v>175</v>
      </c>
      <c r="D34" s="151" t="s">
        <v>143</v>
      </c>
      <c r="E34" s="36" t="str">
        <f>D34&amp;COUNTIF(D$3:D34,D34)</f>
        <v>Internal18</v>
      </c>
      <c r="F34" s="118">
        <v>10</v>
      </c>
      <c r="G34" s="118">
        <v>10</v>
      </c>
      <c r="H34" s="118">
        <v>10</v>
      </c>
      <c r="I34" s="118">
        <v>10</v>
      </c>
      <c r="J34" s="118">
        <v>10</v>
      </c>
      <c r="K34" s="118">
        <v>10</v>
      </c>
      <c r="L34" s="118">
        <v>10</v>
      </c>
      <c r="M34" s="118">
        <v>10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38"/>
    </row>
    <row r="35" spans="1:65" s="39" customFormat="1" x14ac:dyDescent="0.2">
      <c r="A35" s="115"/>
      <c r="B35" s="118" t="s">
        <v>32</v>
      </c>
      <c r="C35" s="149" t="s">
        <v>176</v>
      </c>
      <c r="D35" s="151" t="s">
        <v>143</v>
      </c>
      <c r="E35" s="36" t="str">
        <f>D35&amp;COUNTIF(D$3:D35,D35)</f>
        <v>Internal19</v>
      </c>
      <c r="F35" s="118">
        <v>10</v>
      </c>
      <c r="G35" s="118">
        <v>10</v>
      </c>
      <c r="H35" s="118">
        <v>10</v>
      </c>
      <c r="I35" s="118">
        <v>10</v>
      </c>
      <c r="J35" s="118">
        <v>10</v>
      </c>
      <c r="K35" s="118">
        <v>10</v>
      </c>
      <c r="L35" s="118">
        <v>10</v>
      </c>
      <c r="M35" s="118">
        <v>10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38"/>
    </row>
    <row r="36" spans="1:65" s="39" customFormat="1" x14ac:dyDescent="0.2">
      <c r="A36" s="115"/>
      <c r="B36" s="118" t="s">
        <v>32</v>
      </c>
      <c r="C36" s="150" t="s">
        <v>177</v>
      </c>
      <c r="D36" s="151" t="s">
        <v>19</v>
      </c>
      <c r="E36" s="36" t="str">
        <f>D36&amp;COUNTIF(D$3:D36,D36)</f>
        <v>Client12</v>
      </c>
      <c r="F36" s="118">
        <v>5</v>
      </c>
      <c r="G36" s="118">
        <v>5</v>
      </c>
      <c r="H36" s="118">
        <v>5</v>
      </c>
      <c r="I36" s="118">
        <v>5</v>
      </c>
      <c r="J36" s="118">
        <v>5</v>
      </c>
      <c r="K36" s="118">
        <v>5</v>
      </c>
      <c r="L36" s="118">
        <v>5</v>
      </c>
      <c r="M36" s="118">
        <v>5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38"/>
    </row>
    <row r="37" spans="1:65" s="39" customFormat="1" x14ac:dyDescent="0.2">
      <c r="A37" s="115"/>
      <c r="B37" s="161" t="s">
        <v>32</v>
      </c>
      <c r="C37" s="166" t="s">
        <v>178</v>
      </c>
      <c r="D37" s="162" t="s">
        <v>19</v>
      </c>
      <c r="E37" s="36" t="str">
        <f>D37&amp;COUNTIF(D$3:D37,D37)</f>
        <v>Client13</v>
      </c>
      <c r="F37" s="161">
        <v>1</v>
      </c>
      <c r="G37" s="161">
        <v>1</v>
      </c>
      <c r="H37" s="161">
        <v>1</v>
      </c>
      <c r="I37" s="161">
        <v>1</v>
      </c>
      <c r="J37" s="161">
        <v>1</v>
      </c>
      <c r="K37" s="161">
        <v>1</v>
      </c>
      <c r="L37" s="161">
        <v>1</v>
      </c>
      <c r="M37" s="161">
        <v>1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38"/>
    </row>
    <row r="38" spans="1:65" s="39" customFormat="1" x14ac:dyDescent="0.2">
      <c r="A38" s="115" t="str">
        <f t="shared" si="0"/>
        <v>Technical Working on - License</v>
      </c>
      <c r="B38" s="118" t="s">
        <v>32</v>
      </c>
      <c r="C38" s="148" t="s">
        <v>179</v>
      </c>
      <c r="D38" s="151" t="s">
        <v>143</v>
      </c>
      <c r="E38" s="36" t="str">
        <f>D38&amp;COUNTIF(D$3:D38,D38)</f>
        <v>Internal20</v>
      </c>
      <c r="F38" s="118">
        <v>10</v>
      </c>
      <c r="G38" s="118">
        <v>10</v>
      </c>
      <c r="H38" s="118">
        <v>10</v>
      </c>
      <c r="I38" s="118">
        <v>10</v>
      </c>
      <c r="J38" s="118">
        <v>10</v>
      </c>
      <c r="K38" s="118">
        <v>10</v>
      </c>
      <c r="L38" s="118">
        <v>10</v>
      </c>
      <c r="M38" s="118">
        <v>10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38"/>
    </row>
    <row r="39" spans="1:65" s="39" customFormat="1" x14ac:dyDescent="0.2">
      <c r="A39" s="115"/>
      <c r="B39" s="118" t="s">
        <v>32</v>
      </c>
      <c r="C39" s="151" t="s">
        <v>180</v>
      </c>
      <c r="D39" s="151" t="s">
        <v>169</v>
      </c>
      <c r="E39" s="36" t="str">
        <f>D39&amp;COUNTIF(D$3:D39,D39)</f>
        <v>Government4</v>
      </c>
      <c r="F39" s="151">
        <v>10</v>
      </c>
      <c r="G39" s="118">
        <v>10</v>
      </c>
      <c r="H39" s="118">
        <v>10</v>
      </c>
      <c r="I39" s="118">
        <v>10</v>
      </c>
      <c r="J39" s="118">
        <v>10</v>
      </c>
      <c r="K39" s="118">
        <v>10</v>
      </c>
      <c r="L39" s="118">
        <v>10</v>
      </c>
      <c r="M39" s="118">
        <v>10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38"/>
    </row>
    <row r="40" spans="1:65" s="39" customFormat="1" x14ac:dyDescent="0.2">
      <c r="A40" s="115"/>
      <c r="B40" s="118" t="s">
        <v>32</v>
      </c>
      <c r="C40" s="151" t="s">
        <v>181</v>
      </c>
      <c r="D40" s="151" t="s">
        <v>143</v>
      </c>
      <c r="E40" s="36" t="str">
        <f>D40&amp;COUNTIF(D$3:D40,D40)</f>
        <v>Internal21</v>
      </c>
      <c r="F40" s="151">
        <v>10</v>
      </c>
      <c r="G40" s="118">
        <v>10</v>
      </c>
      <c r="H40" s="118">
        <v>10</v>
      </c>
      <c r="I40" s="118">
        <v>10</v>
      </c>
      <c r="J40" s="118">
        <v>10</v>
      </c>
      <c r="K40" s="118">
        <v>10</v>
      </c>
      <c r="L40" s="118">
        <v>10</v>
      </c>
      <c r="M40" s="118">
        <v>10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38"/>
    </row>
    <row r="41" spans="1:65" s="39" customFormat="1" x14ac:dyDescent="0.2">
      <c r="A41" s="115"/>
      <c r="B41" s="161" t="s">
        <v>32</v>
      </c>
      <c r="C41" s="166" t="s">
        <v>182</v>
      </c>
      <c r="D41" s="162" t="s">
        <v>169</v>
      </c>
      <c r="E41" s="36" t="str">
        <f>D41&amp;COUNTIF(D$3:D41,D41)</f>
        <v>Government5</v>
      </c>
      <c r="F41" s="161">
        <v>1</v>
      </c>
      <c r="G41" s="161">
        <v>1</v>
      </c>
      <c r="H41" s="161">
        <v>1</v>
      </c>
      <c r="I41" s="161">
        <v>1</v>
      </c>
      <c r="J41" s="161">
        <v>1</v>
      </c>
      <c r="K41" s="161">
        <v>1</v>
      </c>
      <c r="L41" s="161">
        <v>1</v>
      </c>
      <c r="M41" s="161">
        <v>1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38"/>
    </row>
    <row r="42" spans="1:65" s="39" customFormat="1" x14ac:dyDescent="0.2">
      <c r="A42" s="115"/>
      <c r="B42" s="118" t="s">
        <v>32</v>
      </c>
      <c r="C42" s="151" t="s">
        <v>183</v>
      </c>
      <c r="D42" s="151" t="s">
        <v>143</v>
      </c>
      <c r="E42" s="36" t="str">
        <f>D42&amp;COUNTIF(D$3:D42,D42)</f>
        <v>Internal22</v>
      </c>
      <c r="F42" s="151">
        <v>60</v>
      </c>
      <c r="G42" s="118">
        <v>60</v>
      </c>
      <c r="H42" s="118">
        <v>60</v>
      </c>
      <c r="I42" s="118">
        <v>60</v>
      </c>
      <c r="J42" s="118">
        <v>60</v>
      </c>
      <c r="K42" s="118">
        <v>60</v>
      </c>
      <c r="L42" s="118">
        <v>60</v>
      </c>
      <c r="M42" s="118">
        <v>60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38"/>
    </row>
    <row r="43" spans="1:65" s="39" customFormat="1" x14ac:dyDescent="0.2">
      <c r="A43" s="115" t="str">
        <f t="shared" si="0"/>
        <v>Technical ReWorking - D.D (VO)</v>
      </c>
      <c r="B43" s="118" t="s">
        <v>32</v>
      </c>
      <c r="C43" s="149" t="s">
        <v>184</v>
      </c>
      <c r="D43" s="151" t="s">
        <v>143</v>
      </c>
      <c r="E43" s="36" t="str">
        <f>D43&amp;COUNTIF(D$3:D43,D43)</f>
        <v>Internal23</v>
      </c>
      <c r="F43" s="151">
        <v>10</v>
      </c>
      <c r="G43" s="118">
        <v>10</v>
      </c>
      <c r="H43" s="118">
        <v>10</v>
      </c>
      <c r="I43" s="118">
        <v>10</v>
      </c>
      <c r="J43" s="118">
        <v>10</v>
      </c>
      <c r="K43" s="118">
        <v>10</v>
      </c>
      <c r="L43" s="118">
        <v>10</v>
      </c>
      <c r="M43" s="118">
        <v>10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38"/>
    </row>
    <row r="44" spans="1:65" s="39" customFormat="1" x14ac:dyDescent="0.2">
      <c r="A44" s="116"/>
      <c r="B44" s="118" t="s">
        <v>32</v>
      </c>
      <c r="C44" s="150" t="s">
        <v>185</v>
      </c>
      <c r="D44" s="151" t="s">
        <v>19</v>
      </c>
      <c r="E44" s="36" t="str">
        <f>D44&amp;COUNTIF(D$3:D44,D44)</f>
        <v>Client14</v>
      </c>
      <c r="F44" s="151">
        <v>5</v>
      </c>
      <c r="G44" s="118">
        <v>5</v>
      </c>
      <c r="H44" s="118">
        <v>5</v>
      </c>
      <c r="I44" s="118">
        <v>5</v>
      </c>
      <c r="J44" s="118">
        <v>5</v>
      </c>
      <c r="K44" s="118">
        <v>5</v>
      </c>
      <c r="L44" s="118">
        <v>5</v>
      </c>
      <c r="M44" s="118">
        <v>5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38"/>
    </row>
    <row r="45" spans="1:65" s="39" customFormat="1" x14ac:dyDescent="0.2">
      <c r="A45" s="115"/>
      <c r="B45" s="161" t="s">
        <v>32</v>
      </c>
      <c r="C45" s="166" t="s">
        <v>186</v>
      </c>
      <c r="D45" s="162" t="s">
        <v>19</v>
      </c>
      <c r="E45" s="36" t="str">
        <f>D45&amp;COUNTIF(D$3:D45,D45)</f>
        <v>Client15</v>
      </c>
      <c r="F45" s="162">
        <v>1</v>
      </c>
      <c r="G45" s="161">
        <v>1</v>
      </c>
      <c r="H45" s="161">
        <v>1</v>
      </c>
      <c r="I45" s="161">
        <v>1</v>
      </c>
      <c r="J45" s="161">
        <v>1</v>
      </c>
      <c r="K45" s="161">
        <v>1</v>
      </c>
      <c r="L45" s="161">
        <v>1</v>
      </c>
      <c r="M45" s="161">
        <v>1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38"/>
    </row>
    <row r="46" spans="1:65" s="39" customFormat="1" x14ac:dyDescent="0.2">
      <c r="A46" s="115"/>
      <c r="B46" s="118" t="s">
        <v>32</v>
      </c>
      <c r="C46" s="151" t="s">
        <v>187</v>
      </c>
      <c r="D46" s="151" t="s">
        <v>143</v>
      </c>
      <c r="E46" s="36" t="str">
        <f>D46&amp;COUNTIF(D$3:D46,D46)</f>
        <v>Internal24</v>
      </c>
      <c r="F46" s="118">
        <v>10</v>
      </c>
      <c r="G46" s="118">
        <v>10</v>
      </c>
      <c r="H46" s="118">
        <v>10</v>
      </c>
      <c r="I46" s="118">
        <v>10</v>
      </c>
      <c r="J46" s="118">
        <v>10</v>
      </c>
      <c r="K46" s="118">
        <v>10</v>
      </c>
      <c r="L46" s="118">
        <v>10</v>
      </c>
      <c r="M46" s="118">
        <v>10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38"/>
    </row>
    <row r="47" spans="1:65" s="39" customFormat="1" x14ac:dyDescent="0.2">
      <c r="A47" s="115"/>
      <c r="B47" s="118" t="s">
        <v>32</v>
      </c>
      <c r="C47" s="149" t="s">
        <v>188</v>
      </c>
      <c r="D47" s="151" t="s">
        <v>143</v>
      </c>
      <c r="E47" s="36" t="str">
        <f>D47&amp;COUNTIF(D$3:D47,D47)</f>
        <v>Internal25</v>
      </c>
      <c r="F47" s="118">
        <v>10</v>
      </c>
      <c r="G47" s="118">
        <v>10</v>
      </c>
      <c r="H47" s="118">
        <v>10</v>
      </c>
      <c r="I47" s="118">
        <v>10</v>
      </c>
      <c r="J47" s="118">
        <v>10</v>
      </c>
      <c r="K47" s="118">
        <v>10</v>
      </c>
      <c r="L47" s="118">
        <v>10</v>
      </c>
      <c r="M47" s="118">
        <v>10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38"/>
    </row>
    <row r="48" spans="1:65" s="39" customFormat="1" x14ac:dyDescent="0.2">
      <c r="A48" s="115"/>
      <c r="B48" s="118" t="s">
        <v>32</v>
      </c>
      <c r="C48" s="150" t="s">
        <v>189</v>
      </c>
      <c r="D48" s="151" t="s">
        <v>19</v>
      </c>
      <c r="E48" s="36" t="str">
        <f>D48&amp;COUNTIF(D$3:D48,D48)</f>
        <v>Client16</v>
      </c>
      <c r="F48" s="118">
        <v>5</v>
      </c>
      <c r="G48" s="118">
        <v>5</v>
      </c>
      <c r="H48" s="118">
        <v>5</v>
      </c>
      <c r="I48" s="118">
        <v>5</v>
      </c>
      <c r="J48" s="118">
        <v>5</v>
      </c>
      <c r="K48" s="118">
        <v>5</v>
      </c>
      <c r="L48" s="118">
        <v>5</v>
      </c>
      <c r="M48" s="118">
        <v>5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38"/>
    </row>
    <row r="49" spans="1:65" s="39" customFormat="1" x14ac:dyDescent="0.2">
      <c r="A49" s="115"/>
      <c r="B49" s="118" t="s">
        <v>32</v>
      </c>
      <c r="C49" s="149" t="s">
        <v>190</v>
      </c>
      <c r="D49" s="151" t="s">
        <v>19</v>
      </c>
      <c r="E49" s="36" t="str">
        <f>D49&amp;COUNTIF(D$3:D49,D49)</f>
        <v>Client17</v>
      </c>
      <c r="F49" s="118">
        <v>1</v>
      </c>
      <c r="G49" s="118">
        <v>1</v>
      </c>
      <c r="H49" s="118">
        <v>1</v>
      </c>
      <c r="I49" s="118">
        <v>1</v>
      </c>
      <c r="J49" s="118">
        <v>1</v>
      </c>
      <c r="K49" s="118">
        <v>1</v>
      </c>
      <c r="L49" s="118">
        <v>1</v>
      </c>
      <c r="M49" s="118">
        <v>1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38"/>
    </row>
    <row r="50" spans="1:65" s="39" customFormat="1" x14ac:dyDescent="0.2">
      <c r="A50" s="115"/>
      <c r="B50" s="143" t="s">
        <v>32</v>
      </c>
      <c r="C50" s="152" t="s">
        <v>191</v>
      </c>
      <c r="D50" s="152" t="s">
        <v>19</v>
      </c>
      <c r="E50" s="36" t="str">
        <f>D50&amp;COUNTIF(D$3:D50,D50)</f>
        <v>Client18</v>
      </c>
      <c r="F50" s="143">
        <v>10</v>
      </c>
      <c r="G50" s="143">
        <v>10</v>
      </c>
      <c r="H50" s="143">
        <v>10</v>
      </c>
      <c r="I50" s="143">
        <v>10</v>
      </c>
      <c r="J50" s="143">
        <v>10</v>
      </c>
      <c r="K50" s="143">
        <v>10</v>
      </c>
      <c r="L50" s="143">
        <v>10</v>
      </c>
      <c r="M50" s="143">
        <v>10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38"/>
    </row>
    <row r="51" spans="1:65" s="39" customFormat="1" x14ac:dyDescent="0.2">
      <c r="A51" s="115"/>
      <c r="B51"/>
      <c r="C51"/>
      <c r="D51"/>
      <c r="E51" s="36" t="str">
        <f>D51&amp;COUNTIF(D$3:D51,D51)</f>
        <v>0</v>
      </c>
      <c r="F51" s="122"/>
      <c r="G51" s="122"/>
      <c r="H51" s="122"/>
      <c r="I51" s="12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38"/>
    </row>
    <row r="52" spans="1:65" s="39" customFormat="1" x14ac:dyDescent="0.2">
      <c r="A52" s="115"/>
      <c r="B52"/>
      <c r="C52"/>
      <c r="D52"/>
      <c r="E52" s="36" t="str">
        <f>D52&amp;COUNTIF(D$3:D52,D52)</f>
        <v>0</v>
      </c>
      <c r="F52" s="122"/>
      <c r="G52" s="122"/>
      <c r="H52" s="122"/>
      <c r="I52" s="122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38"/>
    </row>
    <row r="53" spans="1:65" s="39" customFormat="1" x14ac:dyDescent="0.2">
      <c r="A53" s="115"/>
      <c r="B53"/>
      <c r="C53"/>
      <c r="D53"/>
      <c r="E53" s="36" t="str">
        <f>D53&amp;COUNTIF(D$3:D53,D53)</f>
        <v>0</v>
      </c>
      <c r="F53" s="122"/>
      <c r="G53" s="122"/>
      <c r="H53" s="122"/>
      <c r="I53" s="12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38"/>
    </row>
    <row r="54" spans="1:65" s="39" customFormat="1" x14ac:dyDescent="0.2">
      <c r="A54" s="115"/>
      <c r="B54"/>
      <c r="C54"/>
      <c r="D54"/>
      <c r="E54" s="36" t="str">
        <f>D54&amp;COUNTIF(D$3:D54,D54)</f>
        <v>0</v>
      </c>
      <c r="F54" s="122"/>
      <c r="G54" s="122"/>
      <c r="H54" s="122"/>
      <c r="I54" s="12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38"/>
    </row>
    <row r="55" spans="1:65" s="39" customFormat="1" x14ac:dyDescent="0.2">
      <c r="A55" s="115"/>
      <c r="B55" s="118"/>
      <c r="C55" s="141"/>
      <c r="D55"/>
      <c r="E55" s="36" t="str">
        <f>D55&amp;COUNTIF(D$3:D55,D55)</f>
        <v>0</v>
      </c>
      <c r="F55" s="122"/>
      <c r="G55" s="122"/>
      <c r="H55" s="122"/>
      <c r="I55" s="12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38"/>
    </row>
    <row r="56" spans="1:65" s="39" customFormat="1" x14ac:dyDescent="0.2">
      <c r="A56" s="115"/>
      <c r="B56" s="118"/>
      <c r="C56" s="43"/>
      <c r="D56"/>
      <c r="E56" s="36" t="str">
        <f>D56&amp;COUNTIF(D$3:D56,D56)</f>
        <v>0</v>
      </c>
      <c r="F56" s="122"/>
      <c r="G56" s="122"/>
      <c r="H56" s="122"/>
      <c r="I56" s="12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38"/>
    </row>
    <row r="57" spans="1:65" s="39" customFormat="1" x14ac:dyDescent="0.2">
      <c r="A57" s="115"/>
      <c r="B57" s="118"/>
      <c r="C57" s="118"/>
      <c r="D57"/>
      <c r="E57" s="36" t="str">
        <f>D57&amp;COUNTIF(D$3:D57,D57)</f>
        <v>0</v>
      </c>
      <c r="F57" s="122"/>
      <c r="G57" s="122"/>
      <c r="H57" s="122"/>
      <c r="I57" s="12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38"/>
    </row>
    <row r="58" spans="1:65" s="39" customFormat="1" x14ac:dyDescent="0.2">
      <c r="A58" s="115"/>
      <c r="B58" s="118"/>
      <c r="C58" s="43"/>
      <c r="D58"/>
      <c r="E58" s="36" t="str">
        <f>D58&amp;COUNTIF(D$3:D58,D58)</f>
        <v>0</v>
      </c>
      <c r="F58" s="122"/>
      <c r="G58" s="122"/>
      <c r="H58" s="122"/>
      <c r="I58" s="12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38"/>
    </row>
    <row r="59" spans="1:65" s="39" customFormat="1" x14ac:dyDescent="0.2">
      <c r="A59" s="115"/>
      <c r="B59" s="118"/>
      <c r="C59" s="43"/>
      <c r="D59"/>
      <c r="E59" s="36" t="str">
        <f>D59&amp;COUNTIF(D$3:D59,D59)</f>
        <v>0</v>
      </c>
      <c r="F59" s="122"/>
      <c r="G59" s="122"/>
      <c r="H59" s="122"/>
      <c r="I59" s="12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38"/>
    </row>
    <row r="60" spans="1:65" s="39" customFormat="1" x14ac:dyDescent="0.2">
      <c r="A60" s="115"/>
      <c r="B60" s="118"/>
      <c r="C60" s="141"/>
      <c r="D60"/>
      <c r="E60" s="36" t="str">
        <f>D60&amp;COUNTIF(D$3:D60,D60)</f>
        <v>0</v>
      </c>
      <c r="F60" s="122"/>
      <c r="G60" s="122"/>
      <c r="H60" s="122"/>
      <c r="I60" s="12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38"/>
    </row>
    <row r="61" spans="1:65" s="39" customFormat="1" x14ac:dyDescent="0.2">
      <c r="A61" s="115"/>
      <c r="B61" s="118"/>
      <c r="C61" s="43"/>
      <c r="D61"/>
      <c r="E61" s="36" t="str">
        <f>D61&amp;COUNTIF(D$3:D61,D61)</f>
        <v>0</v>
      </c>
      <c r="F61" s="122"/>
      <c r="G61" s="122"/>
      <c r="H61" s="122"/>
      <c r="I61" s="12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38"/>
    </row>
    <row r="62" spans="1:65" s="39" customFormat="1" x14ac:dyDescent="0.2">
      <c r="A62" s="115"/>
      <c r="B62" s="118"/>
      <c r="C62" s="141"/>
      <c r="D62"/>
      <c r="E62" s="36" t="str">
        <f>D62&amp;COUNTIF(D$3:D62,D62)</f>
        <v>0</v>
      </c>
      <c r="F62" s="122"/>
      <c r="G62" s="122"/>
      <c r="H62" s="122"/>
      <c r="I62" s="122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38"/>
    </row>
    <row r="63" spans="1:65" s="39" customFormat="1" x14ac:dyDescent="0.2">
      <c r="A63" s="115"/>
      <c r="B63" s="118"/>
      <c r="C63" s="118"/>
      <c r="D63"/>
      <c r="E63" s="36" t="str">
        <f>D63&amp;COUNTIF(D$3:D63,D63)</f>
        <v>0</v>
      </c>
      <c r="F63" s="122"/>
      <c r="G63" s="122"/>
      <c r="H63" s="122"/>
      <c r="I63" s="122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38"/>
    </row>
    <row r="64" spans="1:65" s="39" customFormat="1" x14ac:dyDescent="0.2">
      <c r="A64" s="115"/>
      <c r="B64" s="118"/>
      <c r="C64" s="119"/>
      <c r="D64"/>
      <c r="E64" s="36" t="str">
        <f>D64&amp;COUNTIF(D$3:D64,D64)</f>
        <v>0</v>
      </c>
      <c r="F64" s="122"/>
      <c r="G64" s="122"/>
      <c r="H64" s="122"/>
      <c r="I64" s="122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38"/>
    </row>
    <row r="65" spans="1:65" s="39" customFormat="1" x14ac:dyDescent="0.2">
      <c r="A65" s="115"/>
      <c r="B65" s="118"/>
      <c r="C65" s="118"/>
      <c r="D65"/>
      <c r="E65" s="36" t="str">
        <f>D65&amp;COUNTIF(D$3:D65,D65)</f>
        <v>0</v>
      </c>
      <c r="F65" s="122"/>
      <c r="G65" s="122"/>
      <c r="H65" s="122"/>
      <c r="I65" s="122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38"/>
    </row>
    <row r="66" spans="1:65" s="39" customFormat="1" x14ac:dyDescent="0.2">
      <c r="A66" s="115"/>
      <c r="B66" s="118"/>
      <c r="C66" s="119"/>
      <c r="D66"/>
      <c r="E66" s="36" t="str">
        <f>D66&amp;COUNTIF(D$3:D66,D66)</f>
        <v>0</v>
      </c>
      <c r="F66" s="122"/>
      <c r="G66" s="122"/>
      <c r="H66" s="122"/>
      <c r="I66" s="122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38"/>
    </row>
    <row r="67" spans="1:65" s="39" customFormat="1" x14ac:dyDescent="0.2">
      <c r="A67" s="115"/>
      <c r="B67" s="120"/>
      <c r="C67" s="120"/>
      <c r="D67"/>
      <c r="E67" s="36" t="str">
        <f>D67&amp;COUNTIF(D$3:D67,D67)</f>
        <v>0</v>
      </c>
      <c r="F67" s="122"/>
      <c r="G67" s="122"/>
      <c r="H67" s="122"/>
      <c r="I67" s="122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38"/>
    </row>
    <row r="68" spans="1:65" s="39" customFormat="1" x14ac:dyDescent="0.2">
      <c r="A68" s="115"/>
      <c r="B68" s="118"/>
      <c r="C68" s="119"/>
      <c r="D68"/>
      <c r="E68" s="36" t="str">
        <f>D68&amp;COUNTIF(D$3:D68,D68)</f>
        <v>0</v>
      </c>
      <c r="F68" s="122"/>
      <c r="G68" s="122"/>
      <c r="H68" s="122"/>
      <c r="I68" s="122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38"/>
    </row>
    <row r="69" spans="1:65" s="39" customFormat="1" x14ac:dyDescent="0.2">
      <c r="A69" s="115"/>
      <c r="B69" s="118"/>
      <c r="C69" s="121"/>
      <c r="D69"/>
      <c r="E69" s="36" t="str">
        <f>D69&amp;COUNTIF(D$3:D69,D69)</f>
        <v>0</v>
      </c>
      <c r="F69" s="122"/>
      <c r="G69" s="122"/>
      <c r="H69" s="122"/>
      <c r="I69" s="122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38"/>
    </row>
    <row r="70" spans="1:65" s="39" customFormat="1" x14ac:dyDescent="0.2">
      <c r="A70" s="115"/>
      <c r="B70" s="118"/>
      <c r="C70" s="119"/>
      <c r="D70"/>
      <c r="E70" s="36" t="str">
        <f>D70&amp;COUNTIF(D$3:D70,D70)</f>
        <v>0</v>
      </c>
      <c r="F70" s="122"/>
      <c r="G70" s="122"/>
      <c r="H70" s="122"/>
      <c r="I70" s="122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38"/>
    </row>
    <row r="71" spans="1:65" s="39" customFormat="1" x14ac:dyDescent="0.2">
      <c r="A71" s="115"/>
      <c r="B71" s="118"/>
      <c r="C71" s="121"/>
      <c r="D71"/>
      <c r="E71" s="36" t="str">
        <f>D71&amp;COUNTIF(D$3:D71,D71)</f>
        <v>0</v>
      </c>
      <c r="F71" s="122"/>
      <c r="G71" s="122"/>
      <c r="H71" s="122"/>
      <c r="I71" s="122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38"/>
    </row>
    <row r="72" spans="1:65" s="39" customFormat="1" x14ac:dyDescent="0.2">
      <c r="A72" s="115"/>
      <c r="B72" s="118"/>
      <c r="C72" s="119"/>
      <c r="D72"/>
      <c r="E72" s="36" t="str">
        <f>D72&amp;COUNTIF(D$3:D72,D72)</f>
        <v>0</v>
      </c>
      <c r="F72" s="122"/>
      <c r="G72" s="122"/>
      <c r="H72" s="122"/>
      <c r="I72" s="122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38"/>
    </row>
    <row r="73" spans="1:65" s="39" customFormat="1" x14ac:dyDescent="0.2">
      <c r="A73" s="115"/>
      <c r="B73" s="118"/>
      <c r="C73" s="118"/>
      <c r="D73"/>
      <c r="E73" s="36" t="str">
        <f>D73&amp;COUNTIF(D$3:D73,D73)</f>
        <v>0</v>
      </c>
      <c r="F73" s="122"/>
      <c r="G73" s="122"/>
      <c r="H73" s="122"/>
      <c r="I73" s="122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38"/>
    </row>
    <row r="74" spans="1:65" s="39" customFormat="1" x14ac:dyDescent="0.2">
      <c r="A74" s="115"/>
      <c r="B74" s="118"/>
      <c r="C74" s="119"/>
      <c r="D74"/>
      <c r="E74" s="36" t="str">
        <f>D74&amp;COUNTIF(D$3:D74,D74)</f>
        <v>0</v>
      </c>
      <c r="F74" s="122"/>
      <c r="G74" s="122"/>
      <c r="H74" s="122"/>
      <c r="I74" s="122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38"/>
    </row>
    <row r="75" spans="1:65" s="39" customFormat="1" x14ac:dyDescent="0.2">
      <c r="A75" s="115"/>
      <c r="B75" s="118"/>
      <c r="C75" s="118"/>
      <c r="D75"/>
      <c r="E75" s="36" t="str">
        <f>D75&amp;COUNTIF(D$3:D75,D75)</f>
        <v>0</v>
      </c>
      <c r="F75" s="122"/>
      <c r="G75" s="122"/>
      <c r="H75" s="122"/>
      <c r="I75" s="122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38"/>
    </row>
    <row r="76" spans="1:65" s="39" customFormat="1" x14ac:dyDescent="0.2">
      <c r="A76" s="115"/>
      <c r="B76" s="118"/>
      <c r="C76" s="119"/>
      <c r="D76"/>
      <c r="E76" s="36" t="str">
        <f>D76&amp;COUNTIF(D$3:D76,D76)</f>
        <v>0</v>
      </c>
      <c r="F76" s="122"/>
      <c r="G76" s="122"/>
      <c r="H76" s="122"/>
      <c r="I76" s="122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38"/>
    </row>
    <row r="77" spans="1:65" s="39" customFormat="1" x14ac:dyDescent="0.2">
      <c r="A77" s="115"/>
      <c r="B77" s="118"/>
      <c r="C77" s="118"/>
      <c r="D77"/>
      <c r="E77" s="36" t="str">
        <f>D77&amp;COUNTIF(D$3:D77,D77)</f>
        <v>0</v>
      </c>
      <c r="F77" s="122"/>
      <c r="G77" s="122"/>
      <c r="H77" s="122"/>
      <c r="I77" s="122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38"/>
    </row>
    <row r="78" spans="1:65" s="39" customFormat="1" x14ac:dyDescent="0.2">
      <c r="A78" s="115"/>
      <c r="B78" s="118"/>
      <c r="C78" s="119"/>
      <c r="D78"/>
      <c r="E78" s="36" t="str">
        <f>D78&amp;COUNTIF(D$3:D78,D78)</f>
        <v>0</v>
      </c>
      <c r="F78" s="122"/>
      <c r="G78" s="122"/>
      <c r="H78" s="122"/>
      <c r="I78" s="122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38"/>
    </row>
    <row r="79" spans="1:65" s="39" customFormat="1" x14ac:dyDescent="0.2">
      <c r="A79" s="115"/>
      <c r="B79" s="118"/>
      <c r="C79" s="118"/>
      <c r="D79"/>
      <c r="E79" s="36" t="str">
        <f>D79&amp;COUNTIF(D$3:D79,D79)</f>
        <v>0</v>
      </c>
      <c r="F79" s="122"/>
      <c r="G79" s="122"/>
      <c r="H79" s="122"/>
      <c r="I79" s="122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38"/>
    </row>
    <row r="80" spans="1:65" s="39" customFormat="1" x14ac:dyDescent="0.2">
      <c r="A80" s="115"/>
      <c r="B80" s="118"/>
      <c r="C80" s="119"/>
      <c r="D80"/>
      <c r="E80" s="36" t="str">
        <f>D80&amp;COUNTIF(D$3:D80,D80)</f>
        <v>0</v>
      </c>
      <c r="F80" s="122"/>
      <c r="G80" s="122"/>
      <c r="H80" s="122"/>
      <c r="I80" s="122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38"/>
    </row>
    <row r="81" spans="1:65" s="39" customFormat="1" x14ac:dyDescent="0.2">
      <c r="A81" s="115"/>
      <c r="B81" s="118"/>
      <c r="C81" s="118"/>
      <c r="D81"/>
      <c r="E81" s="36" t="str">
        <f>D81&amp;COUNTIF(D$3:D81,D81)</f>
        <v>0</v>
      </c>
      <c r="F81" s="122"/>
      <c r="G81" s="122"/>
      <c r="H81" s="122"/>
      <c r="I81" s="122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38"/>
    </row>
    <row r="82" spans="1:65" s="39" customFormat="1" x14ac:dyDescent="0.2">
      <c r="A82" s="115"/>
      <c r="B82" s="118"/>
      <c r="C82" s="119"/>
      <c r="D82"/>
      <c r="E82" s="36" t="str">
        <f>D82&amp;COUNTIF(D$3:D82,D82)</f>
        <v>0</v>
      </c>
      <c r="F82" s="122"/>
      <c r="G82" s="122"/>
      <c r="H82" s="122"/>
      <c r="I82" s="122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38"/>
    </row>
    <row r="83" spans="1:65" s="39" customFormat="1" x14ac:dyDescent="0.2">
      <c r="A83" s="115" t="str">
        <f t="shared" si="0"/>
        <v xml:space="preserve"> </v>
      </c>
      <c r="B83" s="118"/>
      <c r="C83" s="118"/>
      <c r="D83"/>
      <c r="E83" s="36" t="str">
        <f>D83&amp;COUNTIF(D$3:D83,D83)</f>
        <v>0</v>
      </c>
      <c r="F83" s="122"/>
      <c r="G83" s="122"/>
      <c r="H83" s="122"/>
      <c r="I83" s="122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38"/>
    </row>
    <row r="84" spans="1:65" s="39" customFormat="1" x14ac:dyDescent="0.2">
      <c r="A84" s="115" t="str">
        <f t="shared" si="0"/>
        <v xml:space="preserve"> </v>
      </c>
      <c r="B84" s="118"/>
      <c r="C84" s="119"/>
      <c r="D84"/>
      <c r="E84" s="36" t="str">
        <f>D84&amp;COUNTIF(D$3:D84,D84)</f>
        <v>0</v>
      </c>
      <c r="F84" s="122"/>
      <c r="G84" s="122"/>
      <c r="H84" s="122"/>
      <c r="I84" s="122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38"/>
    </row>
    <row r="85" spans="1:65" s="39" customFormat="1" x14ac:dyDescent="0.2">
      <c r="A85" s="115" t="str">
        <f t="shared" si="0"/>
        <v xml:space="preserve"> </v>
      </c>
      <c r="B85" s="118"/>
      <c r="C85" s="118"/>
      <c r="D85"/>
      <c r="E85" s="36" t="str">
        <f>D85&amp;COUNTIF(D$3:D85,D85)</f>
        <v>0</v>
      </c>
      <c r="F85" s="122"/>
      <c r="G85" s="122"/>
      <c r="H85" s="122"/>
      <c r="I85" s="122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38"/>
    </row>
    <row r="86" spans="1:65" s="39" customFormat="1" x14ac:dyDescent="0.2">
      <c r="A86" s="115"/>
      <c r="B86" s="118"/>
      <c r="C86" s="118"/>
      <c r="D86"/>
      <c r="E86" s="36" t="str">
        <f>D86&amp;COUNTIF(D$3:D86,D86)</f>
        <v>0</v>
      </c>
      <c r="F86" s="122"/>
      <c r="G86" s="122"/>
      <c r="H86" s="122"/>
      <c r="I86" s="122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38"/>
    </row>
    <row r="87" spans="1:65" s="39" customFormat="1" x14ac:dyDescent="0.2">
      <c r="A87" s="115" t="str">
        <f t="shared" si="0"/>
        <v xml:space="preserve"> </v>
      </c>
      <c r="B87" s="118"/>
      <c r="C87" s="118"/>
      <c r="D87"/>
      <c r="E87" s="36" t="str">
        <f>D87&amp;COUNTIF(D$3:D87,D87)</f>
        <v>0</v>
      </c>
      <c r="F87" s="122"/>
      <c r="G87" s="122"/>
      <c r="H87" s="122"/>
      <c r="I87" s="122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38"/>
    </row>
    <row r="88" spans="1:65" s="39" customFormat="1" x14ac:dyDescent="0.2">
      <c r="A88" s="115" t="str">
        <f t="shared" si="0"/>
        <v xml:space="preserve"> </v>
      </c>
      <c r="B88" s="118"/>
      <c r="C88" s="118"/>
      <c r="D88"/>
      <c r="E88" s="36" t="str">
        <f>D88&amp;COUNTIF(D$3:D88,D88)</f>
        <v>0</v>
      </c>
      <c r="F88" s="122"/>
      <c r="G88" s="122"/>
      <c r="H88" s="122"/>
      <c r="I88" s="122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38"/>
    </row>
    <row r="89" spans="1:65" s="39" customFormat="1" x14ac:dyDescent="0.2">
      <c r="A89" s="115" t="str">
        <f t="shared" si="0"/>
        <v xml:space="preserve"> </v>
      </c>
      <c r="B89" s="118"/>
      <c r="C89" s="118"/>
      <c r="D89"/>
      <c r="E89" s="36" t="str">
        <f>D89&amp;COUNTIF(D$3:D89,D89)</f>
        <v>0</v>
      </c>
      <c r="F89" s="122"/>
      <c r="G89" s="122"/>
      <c r="H89" s="122"/>
      <c r="I89" s="122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38"/>
    </row>
    <row r="90" spans="1:65" s="39" customFormat="1" x14ac:dyDescent="0.2">
      <c r="A90" s="115" t="str">
        <f t="shared" si="0"/>
        <v xml:space="preserve"> </v>
      </c>
      <c r="B90" s="118"/>
      <c r="C90" s="118"/>
      <c r="D90"/>
      <c r="E90" s="36" t="str">
        <f>D90&amp;COUNTIF(D$3:D90,D90)</f>
        <v>0</v>
      </c>
      <c r="F90" s="122"/>
      <c r="G90" s="122"/>
      <c r="H90" s="122"/>
      <c r="I90" s="122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38"/>
    </row>
    <row r="91" spans="1:65" s="39" customFormat="1" x14ac:dyDescent="0.2">
      <c r="A91" s="115"/>
      <c r="B91" s="118"/>
      <c r="C91" s="119"/>
      <c r="D91"/>
      <c r="E91" s="36" t="str">
        <f>D91&amp;COUNTIF(D$3:D91,D91)</f>
        <v>0</v>
      </c>
      <c r="F91" s="122"/>
      <c r="G91" s="122"/>
      <c r="H91" s="122"/>
      <c r="I91" s="122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38"/>
    </row>
    <row r="92" spans="1:65" s="39" customFormat="1" x14ac:dyDescent="0.2">
      <c r="A92" s="115"/>
      <c r="B92" s="118"/>
      <c r="C92" s="118"/>
      <c r="D92"/>
      <c r="E92" s="36" t="str">
        <f>D92&amp;COUNTIF(D$3:D92,D92)</f>
        <v>0</v>
      </c>
      <c r="F92" s="122"/>
      <c r="G92" s="122"/>
      <c r="H92" s="122"/>
      <c r="I92" s="122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38"/>
    </row>
    <row r="93" spans="1:65" s="39" customFormat="1" x14ac:dyDescent="0.2">
      <c r="A93" s="115"/>
      <c r="B93" s="118"/>
      <c r="C93" s="119"/>
      <c r="D93"/>
      <c r="E93" s="36" t="str">
        <f>D93&amp;COUNTIF(D$3:D93,D93)</f>
        <v>0</v>
      </c>
      <c r="F93" s="122"/>
      <c r="G93" s="122"/>
      <c r="H93" s="122"/>
      <c r="I93" s="122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38"/>
    </row>
    <row r="94" spans="1:65" s="39" customFormat="1" x14ac:dyDescent="0.2">
      <c r="A94" s="115"/>
      <c r="B94" s="118"/>
      <c r="C94" s="118"/>
      <c r="D94"/>
      <c r="E94" s="36" t="str">
        <f>D94&amp;COUNTIF(D$3:D94,D94)</f>
        <v>0</v>
      </c>
      <c r="F94" s="122"/>
      <c r="G94" s="122"/>
      <c r="H94" s="122"/>
      <c r="I94" s="122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38"/>
    </row>
    <row r="95" spans="1:65" s="39" customFormat="1" x14ac:dyDescent="0.2">
      <c r="A95" s="115"/>
      <c r="B95" s="118"/>
      <c r="C95" s="119"/>
      <c r="D95"/>
      <c r="E95" s="36" t="str">
        <f>D95&amp;COUNTIF(D$3:D95,D95)</f>
        <v>0</v>
      </c>
      <c r="F95" s="122"/>
      <c r="G95" s="122"/>
      <c r="H95" s="122"/>
      <c r="I95" s="122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38"/>
    </row>
    <row r="96" spans="1:65" s="39" customFormat="1" x14ac:dyDescent="0.2">
      <c r="A96" s="115"/>
      <c r="B96" s="118"/>
      <c r="C96" s="118"/>
      <c r="D96"/>
      <c r="E96" s="36" t="str">
        <f>D96&amp;COUNTIF(D$3:D96,D96)</f>
        <v>0</v>
      </c>
      <c r="F96" s="122"/>
      <c r="G96" s="122"/>
      <c r="H96" s="122"/>
      <c r="I96" s="122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38"/>
    </row>
    <row r="97" spans="1:65" s="39" customFormat="1" x14ac:dyDescent="0.2">
      <c r="A97" s="115"/>
      <c r="B97" s="118"/>
      <c r="C97" s="119"/>
      <c r="D97"/>
      <c r="E97" s="36" t="str">
        <f>D97&amp;COUNTIF(D$3:D97,D97)</f>
        <v>0</v>
      </c>
      <c r="F97" s="122"/>
      <c r="G97" s="122"/>
      <c r="H97" s="122"/>
      <c r="I97" s="122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38"/>
    </row>
    <row r="98" spans="1:65" s="39" customFormat="1" x14ac:dyDescent="0.2">
      <c r="A98" s="115"/>
      <c r="B98" s="120"/>
      <c r="C98" s="120"/>
      <c r="D98"/>
      <c r="E98" s="36" t="str">
        <f>D98&amp;COUNTIF(D$3:D98,D98)</f>
        <v>0</v>
      </c>
      <c r="F98" s="122"/>
      <c r="G98" s="122"/>
      <c r="H98" s="122"/>
      <c r="I98" s="122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38"/>
    </row>
    <row r="99" spans="1:65" s="39" customFormat="1" x14ac:dyDescent="0.2">
      <c r="A99" s="115"/>
      <c r="B99" s="118"/>
      <c r="C99" s="118"/>
      <c r="D99"/>
      <c r="E99" s="36" t="str">
        <f>D99&amp;COUNTIF(D$3:D99,D99)</f>
        <v>0</v>
      </c>
      <c r="F99" s="122"/>
      <c r="G99" s="122"/>
      <c r="H99" s="122"/>
      <c r="I99" s="122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38"/>
    </row>
    <row r="100" spans="1:65" s="39" customFormat="1" x14ac:dyDescent="0.2">
      <c r="A100" s="115"/>
      <c r="B100" s="118"/>
      <c r="C100" s="119"/>
      <c r="D100"/>
      <c r="E100" s="36" t="str">
        <f>D100&amp;COUNTIF(D$3:D100,D100)</f>
        <v>0</v>
      </c>
      <c r="F100" s="122"/>
      <c r="G100" s="122"/>
      <c r="H100" s="122"/>
      <c r="I100" s="122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38"/>
    </row>
    <row r="101" spans="1:65" s="39" customFormat="1" x14ac:dyDescent="0.2">
      <c r="A101" s="115"/>
      <c r="B101" s="120"/>
      <c r="C101" s="120"/>
      <c r="D101"/>
      <c r="E101" s="36" t="str">
        <f>D101&amp;COUNTIF(D$3:D101,D101)</f>
        <v>0</v>
      </c>
      <c r="F101" s="122"/>
      <c r="G101" s="122"/>
      <c r="H101" s="122"/>
      <c r="I101" s="122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38"/>
    </row>
    <row r="102" spans="1:65" s="39" customFormat="1" x14ac:dyDescent="0.2">
      <c r="A102" s="115" t="str">
        <f t="shared" si="0"/>
        <v xml:space="preserve"> </v>
      </c>
      <c r="B102" s="118"/>
      <c r="C102" s="119"/>
      <c r="D102"/>
      <c r="E102" s="36" t="str">
        <f>D102&amp;COUNTIF(D$3:D102,D102)</f>
        <v>0</v>
      </c>
      <c r="F102" s="122"/>
      <c r="G102" s="122"/>
      <c r="H102" s="122"/>
      <c r="I102" s="122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38"/>
    </row>
    <row r="103" spans="1:65" s="39" customFormat="1" x14ac:dyDescent="0.2">
      <c r="A103" s="115"/>
      <c r="B103" s="120"/>
      <c r="C103" s="120"/>
      <c r="D103"/>
      <c r="E103" s="36" t="str">
        <f>D103&amp;COUNTIF(D$3:D103,D103)</f>
        <v>0</v>
      </c>
      <c r="F103" s="122"/>
      <c r="G103" s="122"/>
      <c r="H103" s="122"/>
      <c r="I103" s="122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38"/>
    </row>
    <row r="104" spans="1:65" s="39" customFormat="1" x14ac:dyDescent="0.2">
      <c r="A104" s="115" t="str">
        <f t="shared" si="0"/>
        <v xml:space="preserve"> </v>
      </c>
      <c r="B104" s="118"/>
      <c r="C104" s="118"/>
      <c r="D104"/>
      <c r="E104" s="36" t="str">
        <f>D104&amp;COUNTIF(D$3:D104,D104)</f>
        <v>0</v>
      </c>
      <c r="F104" s="122"/>
      <c r="G104" s="122"/>
      <c r="H104" s="122"/>
      <c r="I104" s="122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38"/>
    </row>
    <row r="105" spans="1:65" s="39" customFormat="1" x14ac:dyDescent="0.2">
      <c r="A105" s="115" t="str">
        <f t="shared" si="0"/>
        <v xml:space="preserve"> </v>
      </c>
      <c r="B105" s="118"/>
      <c r="C105" s="118"/>
      <c r="D105"/>
      <c r="E105" s="36" t="str">
        <f>D105&amp;COUNTIF(D$3:D105,D105)</f>
        <v>0</v>
      </c>
      <c r="F105" s="122"/>
      <c r="G105" s="122"/>
      <c r="H105" s="122"/>
      <c r="I105" s="122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38"/>
    </row>
    <row r="106" spans="1:65" s="39" customFormat="1" x14ac:dyDescent="0.2">
      <c r="A106" s="115" t="str">
        <f t="shared" si="0"/>
        <v xml:space="preserve"> </v>
      </c>
      <c r="B106" s="118"/>
      <c r="C106" s="118"/>
      <c r="D106"/>
      <c r="E106" s="36" t="str">
        <f>D106&amp;COUNTIF(D$3:D106,D106)</f>
        <v>0</v>
      </c>
      <c r="F106" s="122"/>
      <c r="G106" s="122"/>
      <c r="H106" s="122"/>
      <c r="I106" s="122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38"/>
    </row>
    <row r="107" spans="1:65" s="39" customFormat="1" x14ac:dyDescent="0.2">
      <c r="A107" s="115" t="str">
        <f t="shared" si="0"/>
        <v xml:space="preserve"> </v>
      </c>
      <c r="B107" s="118"/>
      <c r="C107" s="118"/>
      <c r="D107"/>
      <c r="E107" s="36" t="str">
        <f>D107&amp;COUNTIF(D$3:D107,D107)</f>
        <v>0</v>
      </c>
      <c r="F107" s="122"/>
      <c r="G107" s="122"/>
      <c r="H107" s="122"/>
      <c r="I107" s="122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38"/>
    </row>
    <row r="108" spans="1:65" s="39" customFormat="1" x14ac:dyDescent="0.2">
      <c r="A108" s="115"/>
      <c r="B108" s="118"/>
      <c r="C108" s="118"/>
      <c r="D108"/>
      <c r="E108" s="36" t="str">
        <f>D108&amp;COUNTIF(D$3:D108,D108)</f>
        <v>0</v>
      </c>
      <c r="F108" s="122"/>
      <c r="G108" s="122"/>
      <c r="H108" s="122"/>
      <c r="I108" s="122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38"/>
    </row>
    <row r="109" spans="1:65" s="39" customFormat="1" x14ac:dyDescent="0.2">
      <c r="A109" s="115"/>
      <c r="B109" s="118"/>
      <c r="C109" s="118"/>
      <c r="D109"/>
      <c r="E109" s="36" t="str">
        <f>D109&amp;COUNTIF(D$3:D109,D109)</f>
        <v>0</v>
      </c>
      <c r="F109" s="122"/>
      <c r="G109" s="122"/>
      <c r="H109" s="122"/>
      <c r="I109" s="122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38"/>
    </row>
    <row r="110" spans="1:65" s="39" customFormat="1" x14ac:dyDescent="0.2">
      <c r="A110" s="115"/>
      <c r="B110" s="118"/>
      <c r="C110" s="118"/>
      <c r="D110"/>
      <c r="E110" s="36" t="str">
        <f>D110&amp;COUNTIF(D$3:D110,D110)</f>
        <v>0</v>
      </c>
      <c r="F110" s="122"/>
      <c r="G110" s="122"/>
      <c r="H110" s="122"/>
      <c r="I110" s="122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38"/>
    </row>
    <row r="111" spans="1:65" s="39" customFormat="1" x14ac:dyDescent="0.2">
      <c r="A111" s="115"/>
      <c r="B111" s="118"/>
      <c r="C111" s="118"/>
      <c r="D111"/>
      <c r="E111" s="36" t="str">
        <f>D111&amp;COUNTIF(D$3:D111,D111)</f>
        <v>0</v>
      </c>
      <c r="F111" s="122"/>
      <c r="G111" s="122"/>
      <c r="H111" s="122"/>
      <c r="I111" s="122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38"/>
    </row>
    <row r="112" spans="1:65" s="39" customFormat="1" x14ac:dyDescent="0.2">
      <c r="A112" s="115" t="str">
        <f t="shared" si="0"/>
        <v xml:space="preserve"> </v>
      </c>
      <c r="B112" s="118"/>
      <c r="C112" s="118"/>
      <c r="D112"/>
      <c r="E112" s="36" t="str">
        <f>D112&amp;COUNTIF(D$3:D112,D112)</f>
        <v>0</v>
      </c>
      <c r="F112" s="122"/>
      <c r="G112" s="122"/>
      <c r="H112" s="122"/>
      <c r="I112" s="122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38"/>
    </row>
    <row r="113" spans="1:65" s="39" customFormat="1" x14ac:dyDescent="0.2">
      <c r="A113" s="115" t="str">
        <f t="shared" si="0"/>
        <v xml:space="preserve"> </v>
      </c>
      <c r="B113" s="118"/>
      <c r="C113" s="118"/>
      <c r="D113"/>
      <c r="E113" s="36" t="str">
        <f>D113&amp;COUNTIF(D$3:D113,D113)</f>
        <v>0</v>
      </c>
      <c r="F113" s="122"/>
      <c r="G113" s="122"/>
      <c r="H113" s="122"/>
      <c r="I113" s="122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38"/>
    </row>
    <row r="114" spans="1:65" s="39" customFormat="1" x14ac:dyDescent="0.2">
      <c r="A114" s="115" t="str">
        <f t="shared" si="0"/>
        <v xml:space="preserve"> </v>
      </c>
      <c r="B114" s="118"/>
      <c r="C114" s="118"/>
      <c r="D114"/>
      <c r="E114" s="36" t="str">
        <f>D114&amp;COUNTIF(D$3:D114,D114)</f>
        <v>0</v>
      </c>
      <c r="F114" s="122"/>
      <c r="G114" s="122"/>
      <c r="H114" s="122"/>
      <c r="I114" s="122"/>
      <c r="J114" s="24"/>
      <c r="K114" s="40"/>
      <c r="L114" s="40"/>
      <c r="M114" s="40"/>
      <c r="N114" s="40"/>
      <c r="O114" s="40"/>
      <c r="P114" s="40"/>
      <c r="Q114" s="40"/>
      <c r="R114" s="40"/>
      <c r="S114" s="40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38"/>
    </row>
    <row r="115" spans="1:65" s="39" customFormat="1" x14ac:dyDescent="0.2">
      <c r="A115" s="115" t="str">
        <f t="shared" si="0"/>
        <v xml:space="preserve"> </v>
      </c>
      <c r="B115" s="118"/>
      <c r="C115" s="118"/>
      <c r="D115"/>
      <c r="E115" s="36" t="str">
        <f>D115&amp;COUNTIF(D$3:D115,D115)</f>
        <v>0</v>
      </c>
      <c r="F115" s="122"/>
      <c r="G115" s="122"/>
      <c r="H115" s="122"/>
      <c r="I115" s="122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38"/>
    </row>
    <row r="116" spans="1:65" s="39" customFormat="1" x14ac:dyDescent="0.2">
      <c r="A116" s="115" t="str">
        <f t="shared" si="0"/>
        <v xml:space="preserve"> </v>
      </c>
      <c r="B116" s="118"/>
      <c r="C116" s="121"/>
      <c r="D116"/>
      <c r="E116" s="36" t="str">
        <f>D116&amp;COUNTIF(D$3:D116,D116)</f>
        <v>0</v>
      </c>
      <c r="F116" s="122"/>
      <c r="G116" s="122"/>
      <c r="H116" s="122"/>
      <c r="I116" s="122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38"/>
    </row>
    <row r="117" spans="1:65" s="39" customFormat="1" x14ac:dyDescent="0.2">
      <c r="A117" s="115" t="str">
        <f t="shared" si="0"/>
        <v xml:space="preserve"> </v>
      </c>
      <c r="B117" s="118"/>
      <c r="C117" s="121"/>
      <c r="D117"/>
      <c r="E117" s="36" t="str">
        <f>D117&amp;COUNTIF(D$3:D117,D117)</f>
        <v>0</v>
      </c>
      <c r="F117" s="122"/>
      <c r="G117" s="122"/>
      <c r="H117" s="122"/>
      <c r="I117" s="122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38"/>
    </row>
    <row r="118" spans="1:65" s="39" customFormat="1" x14ac:dyDescent="0.2">
      <c r="A118" s="115"/>
      <c r="B118" s="118"/>
      <c r="C118" s="121"/>
      <c r="D118"/>
      <c r="E118" s="36" t="str">
        <f>D118&amp;COUNTIF(D$3:D118,D118)</f>
        <v>0</v>
      </c>
      <c r="F118" s="122"/>
      <c r="G118" s="122"/>
      <c r="H118" s="122"/>
      <c r="I118" s="122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38"/>
    </row>
    <row r="119" spans="1:65" s="39" customFormat="1" x14ac:dyDescent="0.2">
      <c r="A119" s="115"/>
      <c r="B119" s="118"/>
      <c r="C119" s="130"/>
      <c r="D119"/>
      <c r="E119" s="36" t="str">
        <f>D119&amp;COUNTIF(D$3:D119,D119)</f>
        <v>0</v>
      </c>
      <c r="F119" s="63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38"/>
    </row>
    <row r="120" spans="1:65" s="39" customFormat="1" x14ac:dyDescent="0.2">
      <c r="A120" s="115"/>
      <c r="B120" s="118"/>
      <c r="C120" s="121"/>
      <c r="D120"/>
      <c r="E120" s="36" t="str">
        <f>D120&amp;COUNTIF(D$3:D120,D120)</f>
        <v>0</v>
      </c>
      <c r="F120" s="63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38"/>
    </row>
    <row r="121" spans="1:65" s="39" customFormat="1" x14ac:dyDescent="0.2">
      <c r="A121" s="115" t="str">
        <f t="shared" si="0"/>
        <v xml:space="preserve"> </v>
      </c>
      <c r="B121" s="118"/>
      <c r="C121" s="121"/>
      <c r="D121"/>
      <c r="E121" s="36" t="str">
        <f>D121&amp;COUNTIF(D$3:D121,D121)</f>
        <v>0</v>
      </c>
      <c r="F121" s="63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38"/>
    </row>
    <row r="122" spans="1:65" s="39" customFormat="1" x14ac:dyDescent="0.2">
      <c r="A122" s="115"/>
      <c r="B122" s="118"/>
      <c r="C122" s="121"/>
      <c r="D122"/>
      <c r="E122" s="36" t="str">
        <f>D122&amp;COUNTIF(D$3:D122,D122)</f>
        <v>0</v>
      </c>
      <c r="F122" s="65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38"/>
    </row>
    <row r="123" spans="1:65" s="39" customFormat="1" x14ac:dyDescent="0.2">
      <c r="A123" s="115"/>
      <c r="B123" s="118"/>
      <c r="C123" s="121"/>
      <c r="D123"/>
      <c r="E123" s="36" t="str">
        <f>D123&amp;COUNTIF(D$3:D123,D123)</f>
        <v>0</v>
      </c>
      <c r="F123" s="63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38"/>
    </row>
    <row r="124" spans="1:65" s="39" customFormat="1" x14ac:dyDescent="0.2">
      <c r="A124" s="115" t="str">
        <f t="shared" si="0"/>
        <v xml:space="preserve"> </v>
      </c>
      <c r="B124" s="118"/>
      <c r="C124" s="121"/>
      <c r="D124"/>
      <c r="E124" s="36" t="str">
        <f>D124&amp;COUNTIF(D$3:D124,D124)</f>
        <v>0</v>
      </c>
      <c r="F124" s="63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38"/>
    </row>
    <row r="125" spans="1:65" s="39" customFormat="1" x14ac:dyDescent="0.2">
      <c r="A125" s="115"/>
      <c r="B125" s="118"/>
      <c r="C125" s="121"/>
      <c r="D125"/>
      <c r="E125" s="36" t="str">
        <f>D125&amp;COUNTIF(D$3:D125,D125)</f>
        <v>0</v>
      </c>
      <c r="F125" s="65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38"/>
    </row>
    <row r="126" spans="1:65" s="39" customFormat="1" x14ac:dyDescent="0.2">
      <c r="A126" s="115"/>
      <c r="B126" s="118"/>
      <c r="C126" s="121"/>
      <c r="D126"/>
      <c r="E126" s="36" t="str">
        <f>D126&amp;COUNTIF(D$3:D126,D126)</f>
        <v>0</v>
      </c>
      <c r="F126" s="63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38"/>
    </row>
    <row r="127" spans="1:65" s="39" customFormat="1" x14ac:dyDescent="0.2">
      <c r="A127" s="115"/>
      <c r="B127" s="118"/>
      <c r="C127" s="121"/>
      <c r="D127"/>
      <c r="E127" s="36" t="str">
        <f>D127&amp;COUNTIF(D$3:D127,D127)</f>
        <v>0</v>
      </c>
      <c r="F127" s="63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38"/>
    </row>
    <row r="128" spans="1:65" s="39" customFormat="1" x14ac:dyDescent="0.2">
      <c r="A128" s="115"/>
      <c r="B128" s="118"/>
      <c r="C128" s="121"/>
      <c r="D128"/>
      <c r="E128" s="36" t="str">
        <f>D128&amp;COUNTIF(D$3:D128,D128)</f>
        <v>0</v>
      </c>
      <c r="F128" s="63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38"/>
    </row>
    <row r="129" spans="1:65" s="39" customFormat="1" x14ac:dyDescent="0.2">
      <c r="A129" s="115"/>
      <c r="B129" s="118"/>
      <c r="C129" s="121"/>
      <c r="D129"/>
      <c r="E129" s="36" t="str">
        <f>D129&amp;COUNTIF(D$3:D129,D129)</f>
        <v>0</v>
      </c>
      <c r="F129" s="65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38"/>
    </row>
    <row r="130" spans="1:65" s="39" customFormat="1" x14ac:dyDescent="0.2">
      <c r="A130" s="115" t="str">
        <f t="shared" si="0"/>
        <v xml:space="preserve"> </v>
      </c>
      <c r="B130" s="118"/>
      <c r="C130" s="121"/>
      <c r="D130"/>
      <c r="E130" s="36" t="str">
        <f>D130&amp;COUNTIF(D$3:D130,D130)</f>
        <v>0</v>
      </c>
      <c r="F130" s="63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38"/>
    </row>
    <row r="131" spans="1:65" s="39" customFormat="1" x14ac:dyDescent="0.2">
      <c r="A131" s="115" t="str">
        <f t="shared" si="0"/>
        <v xml:space="preserve"> </v>
      </c>
      <c r="B131" s="118"/>
      <c r="C131" s="121"/>
      <c r="D131"/>
      <c r="E131" s="36" t="str">
        <f>D131&amp;COUNTIF(D$3:D131,D131)</f>
        <v>0</v>
      </c>
      <c r="F131" s="63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38"/>
    </row>
    <row r="132" spans="1:65" s="39" customFormat="1" x14ac:dyDescent="0.2">
      <c r="A132" s="115" t="str">
        <f t="shared" si="0"/>
        <v xml:space="preserve"> </v>
      </c>
      <c r="B132" s="118"/>
      <c r="C132" s="121"/>
      <c r="D132"/>
      <c r="E132" s="36" t="str">
        <f>D132&amp;COUNTIF(D$3:D132,D132)</f>
        <v>0</v>
      </c>
      <c r="F132" s="63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38"/>
    </row>
    <row r="133" spans="1:65" s="39" customFormat="1" x14ac:dyDescent="0.2">
      <c r="A133" s="115" t="str">
        <f t="shared" si="0"/>
        <v xml:space="preserve"> </v>
      </c>
      <c r="B133" s="118"/>
      <c r="C133" s="121"/>
      <c r="D133"/>
      <c r="E133" s="36" t="str">
        <f>D133&amp;COUNTIF(D$3:D133,D133)</f>
        <v>0</v>
      </c>
      <c r="F133" s="65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38"/>
    </row>
    <row r="134" spans="1:65" s="39" customFormat="1" x14ac:dyDescent="0.2">
      <c r="A134" s="115" t="str">
        <f t="shared" si="0"/>
        <v xml:space="preserve"> </v>
      </c>
      <c r="B134" s="118"/>
      <c r="C134" s="121"/>
      <c r="D134"/>
      <c r="E134" s="36" t="str">
        <f>D134&amp;COUNTIF(D$3:D134,D134)</f>
        <v>0</v>
      </c>
      <c r="F134" s="65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38"/>
    </row>
    <row r="135" spans="1:65" s="39" customFormat="1" x14ac:dyDescent="0.2">
      <c r="A135" s="115" t="str">
        <f t="shared" si="0"/>
        <v xml:space="preserve"> </v>
      </c>
      <c r="B135" s="118"/>
      <c r="C135" s="121"/>
      <c r="D135"/>
      <c r="E135" s="36" t="str">
        <f>D135&amp;COUNTIF(D$3:D135,D135)</f>
        <v>0</v>
      </c>
      <c r="F135" s="65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38"/>
    </row>
    <row r="136" spans="1:65" s="39" customFormat="1" x14ac:dyDescent="0.2">
      <c r="A136" s="115" t="str">
        <f t="shared" si="0"/>
        <v xml:space="preserve"> </v>
      </c>
      <c r="B136" s="118"/>
      <c r="C136" s="121"/>
      <c r="D136"/>
      <c r="E136" s="36" t="str">
        <f>D136&amp;COUNTIF(D$3:D136,D136)</f>
        <v>0</v>
      </c>
      <c r="F136" s="65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38"/>
    </row>
    <row r="137" spans="1:65" s="39" customFormat="1" x14ac:dyDescent="0.2">
      <c r="A137" s="115" t="str">
        <f t="shared" si="0"/>
        <v xml:space="preserve"> </v>
      </c>
      <c r="B137" s="118"/>
      <c r="C137" s="121"/>
      <c r="D137"/>
      <c r="E137" s="36" t="str">
        <f>D137&amp;COUNTIF(D$3:D137,D137)</f>
        <v>0</v>
      </c>
      <c r="F137" s="63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38"/>
    </row>
    <row r="138" spans="1:65" s="39" customFormat="1" x14ac:dyDescent="0.2">
      <c r="A138" s="115" t="str">
        <f t="shared" si="0"/>
        <v xml:space="preserve"> </v>
      </c>
      <c r="B138" s="118"/>
      <c r="C138" s="121"/>
      <c r="D138"/>
      <c r="E138" s="36" t="str">
        <f>D138&amp;COUNTIF(D$3:D138,D138)</f>
        <v>0</v>
      </c>
      <c r="F138" s="63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38"/>
    </row>
    <row r="139" spans="1:65" s="39" customFormat="1" x14ac:dyDescent="0.2">
      <c r="A139" s="115" t="str">
        <f t="shared" si="0"/>
        <v xml:space="preserve"> </v>
      </c>
      <c r="B139" s="118"/>
      <c r="C139" s="121"/>
      <c r="D139"/>
      <c r="E139" s="36" t="str">
        <f>D139&amp;COUNTIF(D$3:D139,D139)</f>
        <v>0</v>
      </c>
      <c r="F139" s="65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38"/>
    </row>
    <row r="140" spans="1:65" x14ac:dyDescent="0.2">
      <c r="A140" s="115" t="str">
        <f t="shared" si="0"/>
        <v xml:space="preserve"> </v>
      </c>
      <c r="B140" s="118"/>
      <c r="C140" s="121"/>
      <c r="D140"/>
      <c r="E140" s="36" t="str">
        <f>D140&amp;COUNTIF(D$3:D140,D140)</f>
        <v>0</v>
      </c>
      <c r="F140" s="6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7"/>
    </row>
    <row r="141" spans="1:65" x14ac:dyDescent="0.2">
      <c r="A141" s="115" t="str">
        <f t="shared" si="0"/>
        <v xml:space="preserve"> </v>
      </c>
      <c r="B141" s="118"/>
      <c r="C141" s="121"/>
      <c r="D141"/>
      <c r="E141" s="36" t="str">
        <f>D141&amp;COUNTIF(D$3:D141,D141)</f>
        <v>0</v>
      </c>
      <c r="F141" s="6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7"/>
    </row>
    <row r="142" spans="1:65" x14ac:dyDescent="0.2">
      <c r="A142" s="115" t="str">
        <f t="shared" si="0"/>
        <v xml:space="preserve"> </v>
      </c>
      <c r="B142" s="118"/>
      <c r="C142" s="121"/>
      <c r="D142"/>
      <c r="E142" s="36" t="str">
        <f>D142&amp;COUNTIF(D$3:D142,D142)</f>
        <v>0</v>
      </c>
      <c r="F142" s="63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7"/>
    </row>
    <row r="143" spans="1:65" x14ac:dyDescent="0.2">
      <c r="A143" s="115" t="str">
        <f t="shared" si="0"/>
        <v xml:space="preserve"> </v>
      </c>
      <c r="B143" s="118"/>
      <c r="C143" s="121"/>
      <c r="D143"/>
      <c r="E143" s="36" t="str">
        <f>D143&amp;COUNTIF(D$3:D143,D143)</f>
        <v>0</v>
      </c>
      <c r="F143" s="63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7"/>
    </row>
    <row r="144" spans="1:65" x14ac:dyDescent="0.2">
      <c r="A144" s="115" t="str">
        <f t="shared" si="0"/>
        <v xml:space="preserve"> </v>
      </c>
      <c r="B144" s="118"/>
      <c r="C144" s="121"/>
      <c r="D144"/>
      <c r="E144" s="36" t="str">
        <f>D144&amp;COUNTIF(D$3:D144,D144)</f>
        <v>0</v>
      </c>
      <c r="F144" s="6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7"/>
    </row>
    <row r="145" spans="1:65" x14ac:dyDescent="0.2">
      <c r="A145" s="115" t="str">
        <f t="shared" si="0"/>
        <v xml:space="preserve"> </v>
      </c>
      <c r="B145" s="118"/>
      <c r="C145" s="121"/>
      <c r="D145"/>
      <c r="E145" s="36" t="str">
        <f>D145&amp;COUNTIF(D$3:D145,D145)</f>
        <v>0</v>
      </c>
      <c r="F145" s="6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7"/>
    </row>
    <row r="146" spans="1:65" x14ac:dyDescent="0.2">
      <c r="B146" s="118"/>
      <c r="C146" s="121"/>
      <c r="D146"/>
      <c r="E146" s="36" t="str">
        <f>D146&amp;COUNTIF(D$3:D146,D146)</f>
        <v>0</v>
      </c>
      <c r="F146" s="6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7"/>
    </row>
    <row r="147" spans="1:65" x14ac:dyDescent="0.2">
      <c r="B147" s="118"/>
      <c r="C147" s="121"/>
      <c r="D147"/>
      <c r="E147" s="36" t="str">
        <f>D147&amp;COUNTIF(D$3:D147,D147)</f>
        <v>0</v>
      </c>
      <c r="F147" s="63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7"/>
    </row>
    <row r="148" spans="1:65" x14ac:dyDescent="0.2">
      <c r="B148" s="118"/>
      <c r="C148" s="121"/>
      <c r="D148"/>
      <c r="E148" s="36" t="str">
        <f>D148&amp;COUNTIF(D$3:D148,D148)</f>
        <v>0</v>
      </c>
      <c r="F148" s="63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7"/>
    </row>
    <row r="149" spans="1:65" x14ac:dyDescent="0.2">
      <c r="B149" s="120"/>
      <c r="C149" s="120"/>
      <c r="D149" s="131"/>
      <c r="E149" s="36" t="str">
        <f>D149&amp;COUNTIF(D$3:D149,D149)</f>
        <v>0</v>
      </c>
      <c r="F149" s="6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7"/>
    </row>
    <row r="150" spans="1:65" x14ac:dyDescent="0.2">
      <c r="B150" s="118"/>
      <c r="C150" s="121"/>
      <c r="D150"/>
      <c r="E150" s="36" t="str">
        <f>D150&amp;COUNTIF(D$3:D150,D150)</f>
        <v>0</v>
      </c>
      <c r="F150" s="63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7"/>
    </row>
    <row r="151" spans="1:65" x14ac:dyDescent="0.2">
      <c r="B151" s="118"/>
      <c r="C151" s="121"/>
      <c r="D151"/>
      <c r="E151" s="36" t="str">
        <f>D151&amp;COUNTIF(D$3:D151,D151)</f>
        <v>0</v>
      </c>
      <c r="F151" s="63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7"/>
    </row>
    <row r="152" spans="1:65" x14ac:dyDescent="0.2">
      <c r="B152" s="128"/>
      <c r="C152" s="129"/>
      <c r="D152" s="132"/>
      <c r="E152" s="36" t="str">
        <f>D152&amp;COUNTIF(D$3:D152,D152)</f>
        <v>0</v>
      </c>
      <c r="F152" s="6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7"/>
    </row>
    <row r="153" spans="1:65" x14ac:dyDescent="0.2">
      <c r="B153" s="128"/>
      <c r="C153" s="129"/>
      <c r="D153" s="132"/>
      <c r="E153" s="36" t="str">
        <f>D153&amp;COUNTIF(D$3:D153,D153)</f>
        <v>0</v>
      </c>
      <c r="F153" s="64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7"/>
    </row>
    <row r="154" spans="1:65" x14ac:dyDescent="0.2">
      <c r="B154" s="128"/>
      <c r="C154" s="129"/>
      <c r="D154" s="132"/>
      <c r="E154" s="36" t="str">
        <f>D154&amp;COUNTIF(D$3:D154,D154)</f>
        <v>0</v>
      </c>
      <c r="F154" s="6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7"/>
    </row>
    <row r="155" spans="1:65" x14ac:dyDescent="0.2">
      <c r="B155" s="118"/>
      <c r="C155" s="118"/>
      <c r="D155"/>
      <c r="E155" s="36" t="str">
        <f>D155&amp;COUNTIF(D$3:D155,D155)</f>
        <v>0</v>
      </c>
      <c r="F155" s="6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7"/>
    </row>
    <row r="156" spans="1:65" x14ac:dyDescent="0.2">
      <c r="B156" s="118"/>
      <c r="C156" s="118"/>
      <c r="D156"/>
      <c r="E156" s="36" t="str">
        <f>D156&amp;COUNTIF(D$3:D156,D156)</f>
        <v>0</v>
      </c>
      <c r="F156" s="6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7"/>
    </row>
    <row r="157" spans="1:65" x14ac:dyDescent="0.2">
      <c r="B157" s="118"/>
      <c r="C157" s="118"/>
      <c r="D157"/>
      <c r="E157" s="36" t="str">
        <f>D157&amp;COUNTIF(D$3:D157,D157)</f>
        <v>0</v>
      </c>
      <c r="F157" s="6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7"/>
    </row>
    <row r="158" spans="1:65" x14ac:dyDescent="0.2">
      <c r="B158" s="118"/>
      <c r="C158" s="118"/>
      <c r="D158"/>
      <c r="E158" s="36" t="str">
        <f>D158&amp;COUNTIF(D$3:D158,D158)</f>
        <v>0</v>
      </c>
      <c r="F158" s="6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7"/>
    </row>
    <row r="159" spans="1:65" x14ac:dyDescent="0.2">
      <c r="B159" s="118"/>
      <c r="C159" s="118"/>
      <c r="D159"/>
      <c r="E159" s="36" t="str">
        <f>D159&amp;COUNTIF(D$3:D159,D159)</f>
        <v>0</v>
      </c>
      <c r="F159" s="6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7"/>
    </row>
    <row r="160" spans="1:65" x14ac:dyDescent="0.2">
      <c r="B160" s="118"/>
      <c r="C160" s="118"/>
      <c r="D160"/>
      <c r="E160" s="36" t="str">
        <f>D160&amp;COUNTIF(D$3:D160,D160)</f>
        <v>0</v>
      </c>
      <c r="F160" s="6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7"/>
    </row>
    <row r="161" spans="2:65" x14ac:dyDescent="0.2">
      <c r="B161" s="118"/>
      <c r="C161" s="118"/>
      <c r="D161"/>
      <c r="E161" s="36" t="str">
        <f>D161&amp;COUNTIF(D$3:D161,D161)</f>
        <v>0</v>
      </c>
      <c r="F161" s="6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7"/>
    </row>
    <row r="162" spans="2:65" x14ac:dyDescent="0.2">
      <c r="B162" s="118"/>
      <c r="C162" s="118"/>
      <c r="D162"/>
      <c r="E162" s="36" t="str">
        <f>D162&amp;COUNTIF(D$3:D162,D162)</f>
        <v>0</v>
      </c>
      <c r="F162" s="6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7"/>
    </row>
    <row r="163" spans="2:65" x14ac:dyDescent="0.2">
      <c r="B163" s="118"/>
      <c r="C163" s="118"/>
      <c r="D163"/>
      <c r="E163" s="36" t="str">
        <f>D163&amp;COUNTIF(D$3:D163,D163)</f>
        <v>0</v>
      </c>
      <c r="F163" s="6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7"/>
    </row>
    <row r="164" spans="2:65" x14ac:dyDescent="0.2">
      <c r="B164" s="118"/>
      <c r="C164" s="118"/>
      <c r="D164"/>
      <c r="E164" s="36" t="str">
        <f>D164&amp;COUNTIF(D$3:D164,D164)</f>
        <v>0</v>
      </c>
      <c r="F164" s="6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7"/>
    </row>
    <row r="165" spans="2:65" x14ac:dyDescent="0.2">
      <c r="B165" s="118"/>
      <c r="C165" s="118"/>
      <c r="D165"/>
      <c r="E165" s="36" t="str">
        <f>D165&amp;COUNTIF(D$3:D165,D165)</f>
        <v>0</v>
      </c>
      <c r="F165" s="6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7"/>
    </row>
    <row r="166" spans="2:65" x14ac:dyDescent="0.2">
      <c r="B166" s="118"/>
      <c r="C166" s="118"/>
      <c r="D166"/>
      <c r="E166" s="36" t="str">
        <f>D166&amp;COUNTIF(D$3:D166,D166)</f>
        <v>0</v>
      </c>
      <c r="F166" s="6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7"/>
    </row>
    <row r="167" spans="2:65" x14ac:dyDescent="0.2">
      <c r="B167" s="118"/>
      <c r="C167" s="118"/>
      <c r="D167"/>
      <c r="E167" s="36" t="str">
        <f>D167&amp;COUNTIF(D$3:D167,D167)</f>
        <v>0</v>
      </c>
      <c r="F167" s="6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7"/>
    </row>
    <row r="168" spans="2:65" x14ac:dyDescent="0.2">
      <c r="B168" s="118"/>
      <c r="C168" s="118"/>
      <c r="D168"/>
      <c r="E168" s="36" t="str">
        <f>D168&amp;COUNTIF(D$3:D168,D168)</f>
        <v>0</v>
      </c>
      <c r="F168" s="6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7"/>
    </row>
    <row r="169" spans="2:65" x14ac:dyDescent="0.2">
      <c r="B169" s="118"/>
      <c r="C169" s="118"/>
      <c r="D169"/>
      <c r="E169" s="36" t="str">
        <f>D169&amp;COUNTIF(D$3:D169,D169)</f>
        <v>0</v>
      </c>
      <c r="F169" s="6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7"/>
    </row>
    <row r="170" spans="2:65" x14ac:dyDescent="0.2">
      <c r="B170" s="118"/>
      <c r="C170" s="118"/>
      <c r="D170"/>
      <c r="E170" s="36" t="str">
        <f>D170&amp;COUNTIF(D$3:D170,D170)</f>
        <v>0</v>
      </c>
      <c r="F170" s="6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7"/>
    </row>
    <row r="171" spans="2:65" x14ac:dyDescent="0.2">
      <c r="B171" s="118"/>
      <c r="C171" s="118"/>
      <c r="D171"/>
      <c r="E171" s="36" t="str">
        <f>D171&amp;COUNTIF(D$3:D171,D171)</f>
        <v>0</v>
      </c>
      <c r="F171" s="6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7"/>
    </row>
    <row r="172" spans="2:65" x14ac:dyDescent="0.2">
      <c r="B172" s="118"/>
      <c r="C172" s="118"/>
      <c r="D172"/>
      <c r="E172" s="36" t="str">
        <f>D172&amp;COUNTIF(D$3:D172,D172)</f>
        <v>0</v>
      </c>
      <c r="F172" s="6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7"/>
    </row>
    <row r="173" spans="2:65" x14ac:dyDescent="0.2">
      <c r="B173" s="118"/>
      <c r="C173" s="118"/>
      <c r="D173"/>
      <c r="E173" s="36" t="str">
        <f>D173&amp;COUNTIF(D$3:D173,D173)</f>
        <v>0</v>
      </c>
      <c r="F173" s="6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7"/>
    </row>
    <row r="174" spans="2:65" x14ac:dyDescent="0.2">
      <c r="B174" s="118"/>
      <c r="C174" s="118"/>
      <c r="D174"/>
      <c r="E174" s="36" t="str">
        <f>D174&amp;COUNTIF(D$3:D174,D174)</f>
        <v>0</v>
      </c>
      <c r="F174" s="6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7"/>
    </row>
    <row r="175" spans="2:65" x14ac:dyDescent="0.2">
      <c r="B175" s="118"/>
      <c r="C175" s="118"/>
      <c r="D175"/>
      <c r="E175" s="36" t="str">
        <f>D175&amp;COUNTIF(D$3:D175,D175)</f>
        <v>0</v>
      </c>
      <c r="F175" s="6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7"/>
    </row>
    <row r="176" spans="2:65" x14ac:dyDescent="0.2">
      <c r="B176" s="118"/>
      <c r="C176" s="118"/>
      <c r="D176"/>
      <c r="E176" s="36" t="str">
        <f>D176&amp;COUNTIF(D$3:D176,D176)</f>
        <v>0</v>
      </c>
      <c r="F176" s="6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7"/>
    </row>
    <row r="177" spans="2:65" x14ac:dyDescent="0.2">
      <c r="B177" s="118"/>
      <c r="C177" s="118"/>
      <c r="D177"/>
      <c r="E177" s="36" t="str">
        <f>D177&amp;COUNTIF(D$3:D177,D177)</f>
        <v>0</v>
      </c>
      <c r="F177" s="6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7"/>
    </row>
    <row r="178" spans="2:65" x14ac:dyDescent="0.2">
      <c r="B178" s="118"/>
      <c r="C178" s="118"/>
      <c r="D178"/>
      <c r="E178" s="36" t="str">
        <f>D178&amp;COUNTIF(D$3:D178,D178)</f>
        <v>0</v>
      </c>
      <c r="F178" s="6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7"/>
    </row>
    <row r="179" spans="2:65" x14ac:dyDescent="0.2">
      <c r="B179" s="118"/>
      <c r="C179" s="118"/>
      <c r="D179"/>
      <c r="E179" s="36" t="str">
        <f>D179&amp;COUNTIF(D$3:D179,D179)</f>
        <v>0</v>
      </c>
      <c r="F179" s="6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7"/>
    </row>
    <row r="180" spans="2:65" x14ac:dyDescent="0.2">
      <c r="B180" s="118"/>
      <c r="C180" s="118"/>
      <c r="D180"/>
      <c r="E180" s="36" t="str">
        <f>D180&amp;COUNTIF(D$3:D180,D180)</f>
        <v>0</v>
      </c>
      <c r="F180" s="6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7"/>
    </row>
    <row r="181" spans="2:65" x14ac:dyDescent="0.2">
      <c r="B181" s="118"/>
      <c r="C181" s="118"/>
      <c r="D181"/>
      <c r="E181" s="36" t="str">
        <f>D181&amp;COUNTIF(D$3:D181,D181)</f>
        <v>0</v>
      </c>
      <c r="F181" s="6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7"/>
    </row>
    <row r="182" spans="2:65" x14ac:dyDescent="0.2">
      <c r="B182" s="118"/>
      <c r="C182" s="118"/>
      <c r="D182"/>
      <c r="E182" s="36" t="str">
        <f>D182&amp;COUNTIF(D$3:D182,D182)</f>
        <v>0</v>
      </c>
      <c r="F182" s="6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7"/>
    </row>
    <row r="183" spans="2:65" x14ac:dyDescent="0.2">
      <c r="B183" s="118"/>
      <c r="C183" s="118"/>
      <c r="D183"/>
      <c r="E183" s="36" t="str">
        <f>D183&amp;COUNTIF(D$3:D183,D183)</f>
        <v>0</v>
      </c>
      <c r="F183" s="6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7"/>
    </row>
    <row r="184" spans="2:65" x14ac:dyDescent="0.2">
      <c r="B184" s="118"/>
      <c r="C184" s="118"/>
      <c r="D184"/>
      <c r="E184" s="36" t="str">
        <f>D184&amp;COUNTIF(D$3:D184,D184)</f>
        <v>0</v>
      </c>
      <c r="F184" s="6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7"/>
    </row>
    <row r="185" spans="2:65" x14ac:dyDescent="0.2">
      <c r="B185" s="118"/>
      <c r="C185" s="118"/>
      <c r="D185"/>
      <c r="E185" s="36" t="str">
        <f>D185&amp;COUNTIF(D$3:D185,D185)</f>
        <v>0</v>
      </c>
      <c r="F185" s="6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7"/>
    </row>
    <row r="186" spans="2:65" x14ac:dyDescent="0.2">
      <c r="B186" s="118"/>
      <c r="C186" s="118"/>
      <c r="D186"/>
      <c r="E186" s="36" t="str">
        <f>D186&amp;COUNTIF(D$3:D186,D186)</f>
        <v>0</v>
      </c>
      <c r="F186" s="6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7"/>
    </row>
    <row r="187" spans="2:65" x14ac:dyDescent="0.2">
      <c r="B187" s="118"/>
      <c r="C187" s="118"/>
      <c r="D187"/>
      <c r="E187" s="36" t="str">
        <f>D187&amp;COUNTIF(D$3:D187,D187)</f>
        <v>0</v>
      </c>
      <c r="F187" s="6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7"/>
    </row>
    <row r="188" spans="2:65" x14ac:dyDescent="0.2">
      <c r="B188" s="118"/>
      <c r="C188" s="118"/>
      <c r="D188"/>
      <c r="E188" s="36" t="str">
        <f>D188&amp;COUNTIF(D$3:D188,D188)</f>
        <v>0</v>
      </c>
      <c r="F188" s="6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7"/>
    </row>
    <row r="189" spans="2:65" x14ac:dyDescent="0.2">
      <c r="B189" s="118"/>
      <c r="C189" s="118"/>
      <c r="D189"/>
      <c r="E189" s="36" t="str">
        <f>D189&amp;COUNTIF(D$3:D189,D189)</f>
        <v>0</v>
      </c>
      <c r="F189" s="6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7"/>
    </row>
    <row r="190" spans="2:65" x14ac:dyDescent="0.2">
      <c r="B190" s="118"/>
      <c r="C190" s="118"/>
      <c r="D190"/>
      <c r="E190" s="36" t="str">
        <f>D190&amp;COUNTIF(D$3:D190,D190)</f>
        <v>0</v>
      </c>
      <c r="F190" s="6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7"/>
    </row>
    <row r="191" spans="2:65" x14ac:dyDescent="0.2">
      <c r="B191" s="118"/>
      <c r="C191" s="118"/>
      <c r="D191"/>
      <c r="E191" s="36" t="str">
        <f>D191&amp;COUNTIF(D$3:D191,D191)</f>
        <v>0</v>
      </c>
      <c r="F191" s="6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7"/>
    </row>
    <row r="192" spans="2:65" x14ac:dyDescent="0.2">
      <c r="B192" s="118"/>
      <c r="C192" s="118"/>
      <c r="D192"/>
      <c r="E192" s="36" t="str">
        <f>D192&amp;COUNTIF(D$3:D192,D192)</f>
        <v>0</v>
      </c>
      <c r="F192" s="6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7"/>
    </row>
    <row r="193" spans="2:65" x14ac:dyDescent="0.2">
      <c r="B193" s="118"/>
      <c r="C193" s="118"/>
      <c r="D193"/>
      <c r="E193" s="36" t="str">
        <f>D193&amp;COUNTIF(D$3:D193,D193)</f>
        <v>0</v>
      </c>
      <c r="F193" s="6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7"/>
    </row>
    <row r="194" spans="2:65" x14ac:dyDescent="0.2">
      <c r="B194" s="118"/>
      <c r="C194" s="118"/>
      <c r="D194"/>
      <c r="E194" s="36" t="str">
        <f>D194&amp;COUNTIF(D$3:D194,D194)</f>
        <v>0</v>
      </c>
      <c r="F194" s="6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7"/>
    </row>
    <row r="195" spans="2:65" x14ac:dyDescent="0.2">
      <c r="B195" s="118"/>
      <c r="C195" s="118"/>
      <c r="D195"/>
      <c r="E195" s="36" t="str">
        <f>D195&amp;COUNTIF(D$3:D195,D195)</f>
        <v>0</v>
      </c>
      <c r="F195" s="6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9"/>
    </row>
  </sheetData>
  <sheetProtection algorithmName="SHA-512" hashValue="UFDxrulyRpXCqJaNPfc2NbXr1OGknrSYPpBU56uAIaiQZbmiTP4N73ulUpjh3jHN0l4VgChGpfeYCLqUQ0zalQ==" saltValue="rOVCeK4x+uOOJPxcH5I7HA==" spinCount="100000" sheet="1" objects="1" scenarios="1" formatCells="0" formatColumns="0" formatRows="0"/>
  <protectedRanges>
    <protectedRange sqref="B3:D195 F3:BM195" name="Range1"/>
  </protectedRanges>
  <mergeCells count="2">
    <mergeCell ref="F1:H1"/>
    <mergeCell ref="D1:E1"/>
  </mergeCells>
  <conditionalFormatting sqref="C116:C1048576 C103:C110 C3:C50 C55:C101">
    <cfRule type="duplicateValues" dxfId="2" priority="4"/>
  </conditionalFormatting>
  <conditionalFormatting sqref="F2:BM2">
    <cfRule type="cellIs" dxfId="1" priority="5" operator="equal">
      <formula>0</formula>
    </cfRule>
  </conditionalFormatting>
  <dataValidations count="2">
    <dataValidation allowBlank="1" showInputMessage="1" showErrorMessage="1" sqref="F2:BM2" xr:uid="{8747A3CB-4850-4B02-BEF7-0AC7C7A86EAA}"/>
    <dataValidation type="list" allowBlank="1" showInputMessage="1" showErrorMessage="1" sqref="D3:D195" xr:uid="{5AEA2040-280F-4507-83B9-B2EAE6BD6C8F}">
      <formula1>"Internal,Client,Government"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DCE206-8B7D-43BC-9DCE-48D777FADE5F}">
          <x14:formula1>
            <xm:f>List!$A$3:$A$50</xm:f>
          </x14:formula1>
          <xm:sqref>B3:B300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4C4A-3BCC-40F1-9D85-39AB1B3C7968}">
  <sheetPr codeName="Sheet5"/>
  <dimension ref="A1:G100"/>
  <sheetViews>
    <sheetView workbookViewId="0">
      <selection activeCell="E3" sqref="E3"/>
    </sheetView>
  </sheetViews>
  <sheetFormatPr defaultColWidth="9.125" defaultRowHeight="14.25" x14ac:dyDescent="0.2"/>
  <cols>
    <col min="1" max="1" width="44.125" style="3" customWidth="1"/>
    <col min="2" max="2" width="14.875" style="3" customWidth="1"/>
    <col min="3" max="3" width="58.25" style="3" customWidth="1"/>
    <col min="4" max="4" width="5.75" style="39" customWidth="1"/>
    <col min="5" max="5" width="21.375" style="3" customWidth="1"/>
    <col min="6" max="6" width="17.375" style="3" customWidth="1"/>
    <col min="7" max="7" width="61" style="3" customWidth="1"/>
    <col min="8" max="16384" width="9.125" style="3"/>
  </cols>
  <sheetData>
    <row r="1" spans="1:7" s="17" customFormat="1" ht="23.25" customHeight="1" x14ac:dyDescent="0.2">
      <c r="A1" s="17" t="s">
        <v>139</v>
      </c>
      <c r="B1" s="43" t="s">
        <v>12</v>
      </c>
      <c r="C1" s="43" t="s">
        <v>192</v>
      </c>
      <c r="D1" s="68"/>
      <c r="E1" s="17" t="s">
        <v>139</v>
      </c>
      <c r="F1" s="43" t="s">
        <v>12</v>
      </c>
      <c r="G1" s="43" t="s">
        <v>193</v>
      </c>
    </row>
    <row r="2" spans="1:7" x14ac:dyDescent="0.2">
      <c r="A2" s="3" t="str">
        <f>B2&amp;" "&amp;C2</f>
        <v>Studies Review and Comment - Studies</v>
      </c>
      <c r="B2" s="3" t="str">
        <f>IF(C2="","",INDEX(Tasks!$B:$B,MATCH(C2,Tasks!$C:$C,0)))</f>
        <v>Studies</v>
      </c>
      <c r="C2" s="48" t="str">
        <f>_xlfn.IFNA(INDEX(Tasks!C:C,MATCH("Client"&amp;D2,Tasks!E:E,0)),"")</f>
        <v>Review and Comment - Studies</v>
      </c>
      <c r="D2" s="39">
        <v>1</v>
      </c>
      <c r="E2" s="3" t="str">
        <f>F2&amp;" "&amp;G2</f>
        <v xml:space="preserve">Design Issuing 1st to G.C </v>
      </c>
      <c r="F2" s="3" t="str">
        <f>IF(G2="","",INDEX(Tasks!$B:$B,MATCH(G2,Tasks!$C:$C,0)))</f>
        <v>Design</v>
      </c>
      <c r="G2" s="3" t="str">
        <f>_xlfn.IFNA(INDEX(Tasks!C:C,MATCH("Government"&amp;D2,Tasks!E:E,0)),"")</f>
        <v xml:space="preserve">Issuing 1st to G.C </v>
      </c>
    </row>
    <row r="3" spans="1:7" x14ac:dyDescent="0.2">
      <c r="A3" s="3" t="str">
        <f t="shared" ref="A3:A21" si="0">B3&amp;" "&amp;C3</f>
        <v>Studies Approved - Studies</v>
      </c>
      <c r="B3" s="3" t="str">
        <f>IF(C3="","",INDEX(Tasks!$B:$B,MATCH(C3,Tasks!$C:$C,0)))</f>
        <v>Studies</v>
      </c>
      <c r="C3" s="48" t="str">
        <f>_xlfn.IFNA(INDEX(Tasks!C:C,MATCH("Client"&amp;D3,Tasks!E:E,0)),"")</f>
        <v>Approved - Studies</v>
      </c>
      <c r="D3" s="39">
        <v>2</v>
      </c>
      <c r="E3" s="3" t="str">
        <f t="shared" ref="E3:E66" si="1">F3&amp;" "&amp;G3</f>
        <v>Design Reissuing 1st to G.C</v>
      </c>
      <c r="F3" s="3" t="str">
        <f>IF(G3="","",INDEX(Tasks!$B:$B,MATCH(G3,Tasks!$C:$C,0)))</f>
        <v>Design</v>
      </c>
      <c r="G3" s="3" t="str">
        <f>_xlfn.IFNA(INDEX(Tasks!C:C,MATCH("Government"&amp;D3,Tasks!E:E,0)),"")</f>
        <v>Reissuing 1st to G.C</v>
      </c>
    </row>
    <row r="4" spans="1:7" x14ac:dyDescent="0.2">
      <c r="A4" s="3" t="str">
        <f t="shared" ref="A4:A17" si="2">B4&amp;" "&amp;C4</f>
        <v xml:space="preserve">Design Review and Comment - Design  25% </v>
      </c>
      <c r="B4" s="3" t="str">
        <f>IF(C4="","",INDEX(Tasks!$B:$B,MATCH(C4,Tasks!$C:$C,0)))</f>
        <v>Design</v>
      </c>
      <c r="C4" s="48" t="str">
        <f>_xlfn.IFNA(INDEX(Tasks!C:C,MATCH("Client"&amp;D4,Tasks!E:E,0)),"")</f>
        <v xml:space="preserve">Review and Comment - Design  25% </v>
      </c>
      <c r="D4" s="39">
        <v>3</v>
      </c>
      <c r="E4" s="3" t="str">
        <f t="shared" si="1"/>
        <v>Design Approval 1st - License</v>
      </c>
      <c r="F4" s="3" t="str">
        <f>IF(G4="","",INDEX(Tasks!$B:$B,MATCH(G4,Tasks!$C:$C,0)))</f>
        <v>Design</v>
      </c>
      <c r="G4" s="3" t="str">
        <f>_xlfn.IFNA(INDEX(Tasks!C:C,MATCH("Government"&amp;D4,Tasks!E:E,0)),"")</f>
        <v>Approval 1st - License</v>
      </c>
    </row>
    <row r="5" spans="1:7" x14ac:dyDescent="0.2">
      <c r="A5" s="3" t="str">
        <f t="shared" si="2"/>
        <v xml:space="preserve">Design Approved - Design 25% </v>
      </c>
      <c r="B5" s="3" t="str">
        <f>IF(C5="","",INDEX(Tasks!$B:$B,MATCH(C5,Tasks!$C:$C,0)))</f>
        <v>Design</v>
      </c>
      <c r="C5" s="48" t="str">
        <f>_xlfn.IFNA(INDEX(Tasks!C:C,MATCH("Client"&amp;D5,Tasks!E:E,0)),"")</f>
        <v xml:space="preserve">Approved - Design 25% </v>
      </c>
      <c r="D5" s="39">
        <v>4</v>
      </c>
      <c r="E5" s="3" t="str">
        <f t="shared" si="1"/>
        <v>Technical Issuing the license - R.M</v>
      </c>
      <c r="F5" s="3" t="str">
        <f>IF(G5="","",INDEX(Tasks!$B:$B,MATCH(G5,Tasks!$C:$C,0)))</f>
        <v>Technical</v>
      </c>
      <c r="G5" s="3" t="str">
        <f>_xlfn.IFNA(INDEX(Tasks!C:C,MATCH("Government"&amp;D5,Tasks!E:E,0)),"")</f>
        <v>Issuing the license - R.M</v>
      </c>
    </row>
    <row r="6" spans="1:7" x14ac:dyDescent="0.2">
      <c r="A6" s="3" t="str">
        <f t="shared" si="2"/>
        <v>Design Review and Comment - Design 50%</v>
      </c>
      <c r="B6" s="3" t="str">
        <f>IF(C6="","",INDEX(Tasks!$B:$B,MATCH(C6,Tasks!$C:$C,0)))</f>
        <v>Design</v>
      </c>
      <c r="C6" s="48" t="str">
        <f>_xlfn.IFNA(INDEX(Tasks!C:C,MATCH("Client"&amp;D6,Tasks!E:E,0)),"")</f>
        <v>Review and Comment - Design 50%</v>
      </c>
      <c r="D6" s="39">
        <v>5</v>
      </c>
      <c r="E6" s="3" t="str">
        <f t="shared" si="1"/>
        <v>Technical Approval the License - R.M</v>
      </c>
      <c r="F6" s="3" t="str">
        <f>IF(G6="","",INDEX(Tasks!$B:$B,MATCH(G6,Tasks!$C:$C,0)))</f>
        <v>Technical</v>
      </c>
      <c r="G6" s="3" t="str">
        <f>_xlfn.IFNA(INDEX(Tasks!C:C,MATCH("Government"&amp;D6,Tasks!E:E,0)),"")</f>
        <v>Approval the License - R.M</v>
      </c>
    </row>
    <row r="7" spans="1:7" x14ac:dyDescent="0.2">
      <c r="A7" s="3" t="str">
        <f t="shared" si="2"/>
        <v xml:space="preserve">Design Approved - Design 50% </v>
      </c>
      <c r="B7" s="3" t="str">
        <f>IF(C7="","",INDEX(Tasks!$B:$B,MATCH(C7,Tasks!$C:$C,0)))</f>
        <v>Design</v>
      </c>
      <c r="C7" s="48" t="str">
        <f>_xlfn.IFNA(INDEX(Tasks!C:C,MATCH("Client"&amp;D7,Tasks!E:E,0)),"")</f>
        <v xml:space="preserve">Approved - Design 50% </v>
      </c>
      <c r="D7" s="39">
        <v>6</v>
      </c>
      <c r="E7" s="3" t="str">
        <f t="shared" si="1"/>
        <v xml:space="preserve"> </v>
      </c>
      <c r="F7" s="3" t="str">
        <f>IF(G7="","",INDEX(Tasks!$B:$B,MATCH(G7,Tasks!$C:$C,0)))</f>
        <v/>
      </c>
      <c r="G7" s="3" t="str">
        <f>_xlfn.IFNA(INDEX(Tasks!C:C,MATCH("Government"&amp;D7,Tasks!E:E,0)),"")</f>
        <v/>
      </c>
    </row>
    <row r="8" spans="1:7" x14ac:dyDescent="0.2">
      <c r="A8" s="3" t="str">
        <f t="shared" si="2"/>
        <v>Design Review and Comment - Design 75%</v>
      </c>
      <c r="B8" s="3" t="str">
        <f>IF(C8="","",INDEX(Tasks!$B:$B,MATCH(C8,Tasks!$C:$C,0)))</f>
        <v>Design</v>
      </c>
      <c r="C8" s="48" t="str">
        <f>_xlfn.IFNA(INDEX(Tasks!C:C,MATCH("Client"&amp;D8,Tasks!E:E,0)),"")</f>
        <v>Review and Comment - Design 75%</v>
      </c>
      <c r="D8" s="39">
        <v>7</v>
      </c>
      <c r="E8" s="3" t="str">
        <f t="shared" si="1"/>
        <v xml:space="preserve"> </v>
      </c>
      <c r="F8" s="3" t="str">
        <f>IF(G8="","",INDEX(Tasks!$B:$B,MATCH(G8,Tasks!$C:$C,0)))</f>
        <v/>
      </c>
      <c r="G8" s="3" t="str">
        <f>_xlfn.IFNA(INDEX(Tasks!C:C,MATCH("Government"&amp;D8,Tasks!E:E,0)),"")</f>
        <v/>
      </c>
    </row>
    <row r="9" spans="1:7" x14ac:dyDescent="0.2">
      <c r="A9" s="3" t="str">
        <f t="shared" si="2"/>
        <v xml:space="preserve">Design Approved - Design 75% </v>
      </c>
      <c r="B9" s="3" t="str">
        <f>IF(C9="","",INDEX(Tasks!$B:$B,MATCH(C9,Tasks!$C:$C,0)))</f>
        <v>Design</v>
      </c>
      <c r="C9" s="48" t="str">
        <f>_xlfn.IFNA(INDEX(Tasks!C:C,MATCH("Client"&amp;D9,Tasks!E:E,0)),"")</f>
        <v xml:space="preserve">Approved - Design 75% </v>
      </c>
      <c r="D9" s="39">
        <v>8</v>
      </c>
      <c r="E9" s="3" t="str">
        <f t="shared" si="1"/>
        <v xml:space="preserve"> </v>
      </c>
      <c r="F9" s="3" t="str">
        <f>IF(G9="","",INDEX(Tasks!$B:$B,MATCH(G9,Tasks!$C:$C,0)))</f>
        <v/>
      </c>
      <c r="G9" s="3" t="str">
        <f>_xlfn.IFNA(INDEX(Tasks!C:C,MATCH("Government"&amp;D9,Tasks!E:E,0)),"")</f>
        <v/>
      </c>
    </row>
    <row r="10" spans="1:7" x14ac:dyDescent="0.2">
      <c r="A10" s="3" t="str">
        <f t="shared" si="2"/>
        <v>Design Review and Comment - Design 100%</v>
      </c>
      <c r="B10" s="3" t="str">
        <f>IF(C10="","",INDEX(Tasks!$B:$B,MATCH(C10,Tasks!$C:$C,0)))</f>
        <v>Design</v>
      </c>
      <c r="C10" s="48" t="str">
        <f>_xlfn.IFNA(INDEX(Tasks!C:C,MATCH("Client"&amp;D10,Tasks!E:E,0)),"")</f>
        <v>Review and Comment - Design 100%</v>
      </c>
      <c r="D10" s="39">
        <v>9</v>
      </c>
      <c r="E10" s="3" t="str">
        <f t="shared" si="1"/>
        <v xml:space="preserve"> </v>
      </c>
      <c r="F10" s="3" t="str">
        <f>IF(G10="","",INDEX(Tasks!$B:$B,MATCH(G10,Tasks!$C:$C,0)))</f>
        <v/>
      </c>
      <c r="G10" s="3" t="str">
        <f>_xlfn.IFNA(INDEX(Tasks!C:C,MATCH("Government"&amp;D10,Tasks!E:E,0)),"")</f>
        <v/>
      </c>
    </row>
    <row r="11" spans="1:7" x14ac:dyDescent="0.2">
      <c r="A11" s="3" t="str">
        <f t="shared" si="2"/>
        <v xml:space="preserve">Design Approved - Design 100% </v>
      </c>
      <c r="B11" s="3" t="str">
        <f>IF(C11="","",INDEX(Tasks!$B:$B,MATCH(C11,Tasks!$C:$C,0)))</f>
        <v>Design</v>
      </c>
      <c r="C11" s="48" t="str">
        <f>_xlfn.IFNA(INDEX(Tasks!C:C,MATCH("Client"&amp;D11,Tasks!E:E,0)),"")</f>
        <v xml:space="preserve">Approved - Design 100% </v>
      </c>
      <c r="D11" s="39">
        <v>10</v>
      </c>
      <c r="E11" s="3" t="str">
        <f t="shared" si="1"/>
        <v xml:space="preserve"> </v>
      </c>
      <c r="F11" s="3" t="str">
        <f>IF(G11="","",INDEX(Tasks!$B:$B,MATCH(G11,Tasks!$C:$C,0)))</f>
        <v/>
      </c>
      <c r="G11" s="3" t="str">
        <f>_xlfn.IFNA(INDEX(Tasks!C:C,MATCH("Government"&amp;D11,Tasks!E:E,0)),"")</f>
        <v/>
      </c>
    </row>
    <row r="12" spans="1:7" x14ac:dyDescent="0.2">
      <c r="A12" s="3" t="str">
        <f t="shared" si="2"/>
        <v>Design Coordinate with Out-source</v>
      </c>
      <c r="B12" s="3" t="str">
        <f>IF(C12="","",INDEX(Tasks!$B:$B,MATCH(C12,Tasks!$C:$C,0)))</f>
        <v>Design</v>
      </c>
      <c r="C12" s="48" t="str">
        <f>_xlfn.IFNA(INDEX(Tasks!C:C,MATCH("Client"&amp;D12,Tasks!E:E,0)),"")</f>
        <v>Coordinate with Out-source</v>
      </c>
      <c r="D12" s="39">
        <v>11</v>
      </c>
      <c r="E12" s="3" t="str">
        <f t="shared" si="1"/>
        <v xml:space="preserve"> </v>
      </c>
      <c r="F12" s="3" t="str">
        <f>IF(G12="","",INDEX(Tasks!$B:$B,MATCH(G12,Tasks!$C:$C,0)))</f>
        <v/>
      </c>
      <c r="G12" s="3" t="str">
        <f>_xlfn.IFNA(INDEX(Tasks!C:C,MATCH("Government"&amp;D12,Tasks!E:E,0)),"")</f>
        <v/>
      </c>
    </row>
    <row r="13" spans="1:7" x14ac:dyDescent="0.2">
      <c r="A13" s="3" t="str">
        <f t="shared" si="2"/>
        <v>Technical Review and Comment - Development</v>
      </c>
      <c r="B13" s="3" t="str">
        <f>IF(C13="","",INDEX(Tasks!$B:$B,MATCH(C13,Tasks!$C:$C,0)))</f>
        <v>Technical</v>
      </c>
      <c r="C13" s="48" t="str">
        <f>_xlfn.IFNA(INDEX(Tasks!C:C,MATCH("Client"&amp;D13,Tasks!E:E,0)),"")</f>
        <v>Review and Comment - Development</v>
      </c>
      <c r="D13" s="39">
        <v>12</v>
      </c>
      <c r="E13" s="3" t="str">
        <f t="shared" si="1"/>
        <v xml:space="preserve"> </v>
      </c>
      <c r="F13" s="3" t="str">
        <f>IF(G13="","",INDEX(Tasks!$B:$B,MATCH(G13,Tasks!$C:$C,0)))</f>
        <v/>
      </c>
      <c r="G13" s="3" t="str">
        <f>_xlfn.IFNA(INDEX(Tasks!C:C,MATCH("Government"&amp;D13,Tasks!E:E,0)),"")</f>
        <v/>
      </c>
    </row>
    <row r="14" spans="1:7" x14ac:dyDescent="0.2">
      <c r="A14" s="3" t="str">
        <f t="shared" si="2"/>
        <v>Technical Approval - Development</v>
      </c>
      <c r="B14" s="3" t="str">
        <f>IF(C14="","",INDEX(Tasks!$B:$B,MATCH(C14,Tasks!$C:$C,0)))</f>
        <v>Technical</v>
      </c>
      <c r="C14" s="48" t="str">
        <f>_xlfn.IFNA(INDEX(Tasks!C:C,MATCH("Client"&amp;D14,Tasks!E:E,0)),"")</f>
        <v>Approval - Development</v>
      </c>
      <c r="D14" s="39">
        <v>13</v>
      </c>
      <c r="E14" s="3" t="str">
        <f t="shared" si="1"/>
        <v xml:space="preserve"> </v>
      </c>
      <c r="F14" s="3" t="str">
        <f>IF(G14="","",INDEX(Tasks!$B:$B,MATCH(G14,Tasks!$C:$C,0)))</f>
        <v/>
      </c>
      <c r="G14" s="3" t="str">
        <f>_xlfn.IFNA(INDEX(Tasks!C:C,MATCH("Government"&amp;D14,Tasks!E:E,0)),"")</f>
        <v/>
      </c>
    </row>
    <row r="15" spans="1:7" x14ac:dyDescent="0.2">
      <c r="A15" s="3" t="str">
        <f t="shared" si="2"/>
        <v>Technical Review and Comment - DD</v>
      </c>
      <c r="B15" s="3" t="str">
        <f>IF(C15="","",INDEX(Tasks!$B:$B,MATCH(C15,Tasks!$C:$C,0)))</f>
        <v>Technical</v>
      </c>
      <c r="C15" s="48" t="str">
        <f>_xlfn.IFNA(INDEX(Tasks!C:C,MATCH("Client"&amp;D15,Tasks!E:E,0)),"")</f>
        <v>Review and Comment - DD</v>
      </c>
      <c r="D15" s="39">
        <v>14</v>
      </c>
      <c r="E15" s="3" t="str">
        <f t="shared" si="1"/>
        <v xml:space="preserve"> </v>
      </c>
      <c r="F15" s="3" t="str">
        <f>IF(G15="","",INDEX(Tasks!$B:$B,MATCH(G15,Tasks!$C:$C,0)))</f>
        <v/>
      </c>
      <c r="G15" s="3" t="str">
        <f>_xlfn.IFNA(INDEX(Tasks!C:C,MATCH("Government"&amp;D15,Tasks!E:E,0)),"")</f>
        <v/>
      </c>
    </row>
    <row r="16" spans="1:7" x14ac:dyDescent="0.2">
      <c r="A16" s="3" t="str">
        <f t="shared" si="2"/>
        <v>Technical Approval - DD</v>
      </c>
      <c r="B16" s="3" t="str">
        <f>IF(C16="","",INDEX(Tasks!$B:$B,MATCH(C16,Tasks!$C:$C,0)))</f>
        <v>Technical</v>
      </c>
      <c r="C16" s="48" t="str">
        <f>_xlfn.IFNA(INDEX(Tasks!C:C,MATCH("Client"&amp;D16,Tasks!E:E,0)),"")</f>
        <v>Approval - DD</v>
      </c>
      <c r="D16" s="39">
        <v>15</v>
      </c>
      <c r="E16" s="3" t="str">
        <f t="shared" si="1"/>
        <v xml:space="preserve"> </v>
      </c>
      <c r="F16" s="3" t="str">
        <f>IF(G16="","",INDEX(Tasks!$B:$B,MATCH(G16,Tasks!$C:$C,0)))</f>
        <v/>
      </c>
      <c r="G16" s="3" t="str">
        <f>_xlfn.IFNA(INDEX(Tasks!C:C,MATCH("Government"&amp;D16,Tasks!E:E,0)),"")</f>
        <v/>
      </c>
    </row>
    <row r="17" spans="1:7" x14ac:dyDescent="0.2">
      <c r="A17" s="3" t="str">
        <f t="shared" si="2"/>
        <v>Technical Review and Comment -  BOQ</v>
      </c>
      <c r="B17" s="3" t="str">
        <f>IF(C17="","",INDEX(Tasks!$B:$B,MATCH(C17,Tasks!$C:$C,0)))</f>
        <v>Technical</v>
      </c>
      <c r="C17" s="48" t="str">
        <f>_xlfn.IFNA(INDEX(Tasks!C:C,MATCH("Client"&amp;D17,Tasks!E:E,0)),"")</f>
        <v>Review and Comment -  BOQ</v>
      </c>
      <c r="D17" s="39">
        <v>16</v>
      </c>
      <c r="E17" s="3" t="str">
        <f t="shared" si="1"/>
        <v xml:space="preserve"> </v>
      </c>
      <c r="F17" s="3" t="str">
        <f>IF(G17="","",INDEX(Tasks!$B:$B,MATCH(G17,Tasks!$C:$C,0)))</f>
        <v/>
      </c>
      <c r="G17" s="3" t="str">
        <f>_xlfn.IFNA(INDEX(Tasks!C:C,MATCH("Government"&amp;D17,Tasks!E:E,0)),"")</f>
        <v/>
      </c>
    </row>
    <row r="18" spans="1:7" x14ac:dyDescent="0.2">
      <c r="A18" s="3" t="str">
        <f t="shared" si="0"/>
        <v>Technical Approval -  BOQ</v>
      </c>
      <c r="B18" s="3" t="str">
        <f>IF(C18="","",INDEX(Tasks!$B:$B,MATCH(C18,Tasks!$C:$C,0)))</f>
        <v>Technical</v>
      </c>
      <c r="C18" s="48" t="str">
        <f>_xlfn.IFNA(INDEX(Tasks!C:C,MATCH("Client"&amp;D18,Tasks!E:E,0)),"")</f>
        <v>Approval -  BOQ</v>
      </c>
      <c r="D18" s="39">
        <v>17</v>
      </c>
      <c r="E18" s="3" t="str">
        <f t="shared" si="1"/>
        <v xml:space="preserve"> </v>
      </c>
      <c r="F18" s="3" t="str">
        <f>IF(G18="","",INDEX(Tasks!$B:$B,MATCH(G18,Tasks!$C:$C,0)))</f>
        <v/>
      </c>
      <c r="G18" s="3" t="str">
        <f>_xlfn.IFNA(INDEX(Tasks!C:C,MATCH("Government"&amp;D18,Tasks!E:E,0)),"")</f>
        <v/>
      </c>
    </row>
    <row r="19" spans="1:7" x14ac:dyDescent="0.2">
      <c r="A19" s="3" t="str">
        <f t="shared" si="0"/>
        <v>Technical Coordinate with Out-source.</v>
      </c>
      <c r="B19" s="3" t="str">
        <f>IF(C19="","",INDEX(Tasks!$B:$B,MATCH(C19,Tasks!$C:$C,0)))</f>
        <v>Technical</v>
      </c>
      <c r="C19" s="48" t="str">
        <f>_xlfn.IFNA(INDEX(Tasks!C:C,MATCH("Client"&amp;D19,Tasks!E:E,0)),"")</f>
        <v>Coordinate with Out-source.</v>
      </c>
      <c r="D19" s="39">
        <v>18</v>
      </c>
      <c r="E19" s="3" t="str">
        <f t="shared" si="1"/>
        <v xml:space="preserve"> </v>
      </c>
      <c r="F19" s="3" t="str">
        <f>IF(G19="","",INDEX(Tasks!$B:$B,MATCH(G19,Tasks!$C:$C,0)))</f>
        <v/>
      </c>
      <c r="G19" s="3" t="str">
        <f>_xlfn.IFNA(INDEX(Tasks!C:C,MATCH("Government"&amp;D19,Tasks!E:E,0)),"")</f>
        <v/>
      </c>
    </row>
    <row r="20" spans="1:7" x14ac:dyDescent="0.2">
      <c r="A20" s="3" t="str">
        <f t="shared" si="0"/>
        <v xml:space="preserve"> </v>
      </c>
      <c r="B20" s="3" t="str">
        <f>IF(C20="","",INDEX(Tasks!$B:$B,MATCH(C20,Tasks!$C:$C,0)))</f>
        <v/>
      </c>
      <c r="C20" s="48" t="str">
        <f>_xlfn.IFNA(INDEX(Tasks!C:C,MATCH("Client"&amp;D20,Tasks!E:E,0)),"")</f>
        <v/>
      </c>
      <c r="D20" s="39">
        <v>19</v>
      </c>
      <c r="E20" s="3" t="str">
        <f t="shared" si="1"/>
        <v xml:space="preserve"> </v>
      </c>
      <c r="F20" s="3" t="str">
        <f>IF(G20="","",INDEX(Tasks!$B:$B,MATCH(G20,Tasks!$C:$C,0)))</f>
        <v/>
      </c>
      <c r="G20" s="3" t="str">
        <f>_xlfn.IFNA(INDEX(Tasks!C:C,MATCH("Government"&amp;D20,Tasks!E:E,0)),"")</f>
        <v/>
      </c>
    </row>
    <row r="21" spans="1:7" x14ac:dyDescent="0.2">
      <c r="A21" s="3" t="str">
        <f t="shared" si="0"/>
        <v xml:space="preserve"> </v>
      </c>
      <c r="B21" s="3" t="str">
        <f>IF(C21="","",INDEX(Tasks!$B:$B,MATCH(C21,Tasks!$C:$C,0)))</f>
        <v/>
      </c>
      <c r="C21" s="48" t="str">
        <f>_xlfn.IFNA(INDEX(Tasks!C:C,MATCH("Client"&amp;D21,Tasks!E:E,0)),"")</f>
        <v/>
      </c>
      <c r="D21" s="39">
        <v>20</v>
      </c>
      <c r="E21" s="3" t="str">
        <f t="shared" si="1"/>
        <v xml:space="preserve"> </v>
      </c>
      <c r="F21" s="3" t="str">
        <f>IF(G21="","",INDEX(Tasks!$B:$B,MATCH(G21,Tasks!$C:$C,0)))</f>
        <v/>
      </c>
      <c r="G21" s="3" t="str">
        <f>_xlfn.IFNA(INDEX(Tasks!C:C,MATCH("Government"&amp;D21,Tasks!E:E,0)),"")</f>
        <v/>
      </c>
    </row>
    <row r="22" spans="1:7" x14ac:dyDescent="0.2">
      <c r="A22" s="3" t="str">
        <f t="shared" ref="A22" si="3">B22&amp;" "&amp;C22</f>
        <v xml:space="preserve"> </v>
      </c>
      <c r="B22" s="3" t="str">
        <f>IF(C22="","",INDEX(Tasks!$B:$B,MATCH(C22,Tasks!$C:$C,0)))</f>
        <v/>
      </c>
      <c r="C22" s="48" t="str">
        <f>_xlfn.IFNA(INDEX(Tasks!C:C,MATCH("Client"&amp;D22,Tasks!E:E,0)),"")</f>
        <v/>
      </c>
      <c r="D22" s="39">
        <v>21</v>
      </c>
      <c r="E22" s="3" t="str">
        <f t="shared" si="1"/>
        <v xml:space="preserve"> </v>
      </c>
      <c r="F22" s="3" t="str">
        <f>IF(G22="","",INDEX(Tasks!$B:$B,MATCH(G22,Tasks!$C:$C,0)))</f>
        <v/>
      </c>
      <c r="G22" s="3" t="str">
        <f>_xlfn.IFNA(INDEX(Tasks!C:C,MATCH("Government"&amp;D22,Tasks!E:E,0)),"")</f>
        <v/>
      </c>
    </row>
    <row r="23" spans="1:7" x14ac:dyDescent="0.2">
      <c r="A23" s="3" t="str">
        <f t="shared" ref="A23:A86" si="4">B23&amp;" "&amp;C23</f>
        <v xml:space="preserve"> </v>
      </c>
      <c r="B23" s="3" t="str">
        <f>IF(C23="","",INDEX(Tasks!$B:$B,MATCH(C23,Tasks!$C:$C,0)))</f>
        <v/>
      </c>
      <c r="C23" s="48" t="str">
        <f>_xlfn.IFNA(INDEX(Tasks!C:C,MATCH("Client"&amp;D23,Tasks!E:E,0)),"")</f>
        <v/>
      </c>
      <c r="D23" s="39">
        <v>22</v>
      </c>
      <c r="E23" s="3" t="str">
        <f t="shared" si="1"/>
        <v xml:space="preserve"> </v>
      </c>
      <c r="F23" s="3" t="str">
        <f>IF(G23="","",INDEX(Tasks!$B:$B,MATCH(G23,Tasks!$C:$C,0)))</f>
        <v/>
      </c>
      <c r="G23" s="3" t="str">
        <f>_xlfn.IFNA(INDEX(Tasks!C:C,MATCH("Government"&amp;D23,Tasks!E:E,0)),"")</f>
        <v/>
      </c>
    </row>
    <row r="24" spans="1:7" x14ac:dyDescent="0.2">
      <c r="A24" s="3" t="str">
        <f t="shared" si="4"/>
        <v xml:space="preserve"> </v>
      </c>
      <c r="B24" s="3" t="str">
        <f>IF(C24="","",INDEX(Tasks!$B:$B,MATCH(C24,Tasks!$C:$C,0)))</f>
        <v/>
      </c>
      <c r="C24" s="48" t="str">
        <f>_xlfn.IFNA(INDEX(Tasks!C:C,MATCH("Client"&amp;D24,Tasks!E:E,0)),"")</f>
        <v/>
      </c>
      <c r="D24" s="39">
        <v>23</v>
      </c>
      <c r="E24" s="3" t="str">
        <f t="shared" si="1"/>
        <v xml:space="preserve"> </v>
      </c>
      <c r="F24" s="3" t="str">
        <f>IF(G24="","",INDEX(Tasks!$B:$B,MATCH(G24,Tasks!$C:$C,0)))</f>
        <v/>
      </c>
      <c r="G24" s="3" t="str">
        <f>_xlfn.IFNA(INDEX(Tasks!C:C,MATCH("Government"&amp;D24,Tasks!E:E,0)),"")</f>
        <v/>
      </c>
    </row>
    <row r="25" spans="1:7" x14ac:dyDescent="0.2">
      <c r="A25" s="3" t="str">
        <f t="shared" si="4"/>
        <v xml:space="preserve"> </v>
      </c>
      <c r="B25" s="3" t="str">
        <f>IF(C25="","",INDEX(Tasks!$B:$B,MATCH(C25,Tasks!$C:$C,0)))</f>
        <v/>
      </c>
      <c r="C25" s="48" t="str">
        <f>_xlfn.IFNA(INDEX(Tasks!C:C,MATCH("Client"&amp;D25,Tasks!E:E,0)),"")</f>
        <v/>
      </c>
      <c r="D25" s="39">
        <v>24</v>
      </c>
      <c r="E25" s="3" t="str">
        <f t="shared" si="1"/>
        <v xml:space="preserve"> </v>
      </c>
      <c r="F25" s="3" t="str">
        <f>IF(G25="","",INDEX(Tasks!$B:$B,MATCH(G25,Tasks!$C:$C,0)))</f>
        <v/>
      </c>
      <c r="G25" s="3" t="str">
        <f>_xlfn.IFNA(INDEX(Tasks!C:C,MATCH("Government"&amp;D25,Tasks!E:E,0)),"")</f>
        <v/>
      </c>
    </row>
    <row r="26" spans="1:7" x14ac:dyDescent="0.2">
      <c r="A26" s="3" t="str">
        <f t="shared" si="4"/>
        <v xml:space="preserve"> </v>
      </c>
      <c r="B26" s="3" t="str">
        <f>IF(C26="","",INDEX(Tasks!$B:$B,MATCH(C26,Tasks!$C:$C,0)))</f>
        <v/>
      </c>
      <c r="C26" s="48" t="str">
        <f>_xlfn.IFNA(INDEX(Tasks!C:C,MATCH("Client"&amp;D26,Tasks!E:E,0)),"")</f>
        <v/>
      </c>
      <c r="D26" s="39">
        <v>25</v>
      </c>
      <c r="E26" s="3" t="str">
        <f t="shared" si="1"/>
        <v xml:space="preserve"> </v>
      </c>
      <c r="F26" s="3" t="str">
        <f>IF(G26="","",INDEX(Tasks!$B:$B,MATCH(G26,Tasks!$C:$C,0)))</f>
        <v/>
      </c>
      <c r="G26" s="3" t="str">
        <f>_xlfn.IFNA(INDEX(Tasks!C:C,MATCH("Government"&amp;D26,Tasks!E:E,0)),"")</f>
        <v/>
      </c>
    </row>
    <row r="27" spans="1:7" x14ac:dyDescent="0.2">
      <c r="A27" s="3" t="str">
        <f t="shared" si="4"/>
        <v xml:space="preserve"> </v>
      </c>
      <c r="B27" s="3" t="str">
        <f>IF(C27="","",INDEX(Tasks!$B:$B,MATCH(C27,Tasks!$C:$C,0)))</f>
        <v/>
      </c>
      <c r="C27" s="48" t="str">
        <f>_xlfn.IFNA(INDEX(Tasks!C:C,MATCH("Client"&amp;D27,Tasks!E:E,0)),"")</f>
        <v/>
      </c>
      <c r="D27" s="39">
        <v>26</v>
      </c>
      <c r="E27" s="3" t="str">
        <f t="shared" si="1"/>
        <v xml:space="preserve"> </v>
      </c>
      <c r="F27" s="3" t="str">
        <f>IF(G27="","",INDEX(Tasks!$B:$B,MATCH(G27,Tasks!$C:$C,0)))</f>
        <v/>
      </c>
      <c r="G27" s="3" t="str">
        <f>_xlfn.IFNA(INDEX(Tasks!C:C,MATCH("Government"&amp;D27,Tasks!E:E,0)),"")</f>
        <v/>
      </c>
    </row>
    <row r="28" spans="1:7" x14ac:dyDescent="0.2">
      <c r="A28" s="3" t="str">
        <f t="shared" si="4"/>
        <v xml:space="preserve"> </v>
      </c>
      <c r="B28" s="3" t="str">
        <f>IF(C28="","",INDEX(Tasks!$B:$B,MATCH(C28,Tasks!$C:$C,0)))</f>
        <v/>
      </c>
      <c r="C28" s="48" t="str">
        <f>_xlfn.IFNA(INDEX(Tasks!C:C,MATCH("Client"&amp;D28,Tasks!E:E,0)),"")</f>
        <v/>
      </c>
      <c r="D28" s="39">
        <v>27</v>
      </c>
      <c r="E28" s="3" t="str">
        <f t="shared" si="1"/>
        <v xml:space="preserve"> </v>
      </c>
      <c r="F28" s="3" t="str">
        <f>IF(G28="","",INDEX(Tasks!$B:$B,MATCH(G28,Tasks!$C:$C,0)))</f>
        <v/>
      </c>
      <c r="G28" s="3" t="str">
        <f>_xlfn.IFNA(INDEX(Tasks!C:C,MATCH("Government"&amp;D28,Tasks!E:E,0)),"")</f>
        <v/>
      </c>
    </row>
    <row r="29" spans="1:7" x14ac:dyDescent="0.2">
      <c r="A29" s="3" t="str">
        <f t="shared" si="4"/>
        <v xml:space="preserve"> </v>
      </c>
      <c r="B29" s="3" t="str">
        <f>IF(C29="","",INDEX(Tasks!$B:$B,MATCH(C29,Tasks!$C:$C,0)))</f>
        <v/>
      </c>
      <c r="C29" s="48" t="str">
        <f>_xlfn.IFNA(INDEX(Tasks!C:C,MATCH("Client"&amp;D29,Tasks!E:E,0)),"")</f>
        <v/>
      </c>
      <c r="D29" s="39">
        <v>28</v>
      </c>
      <c r="E29" s="3" t="str">
        <f t="shared" si="1"/>
        <v xml:space="preserve"> </v>
      </c>
      <c r="F29" s="3" t="str">
        <f>IF(G29="","",INDEX(Tasks!$B:$B,MATCH(G29,Tasks!$C:$C,0)))</f>
        <v/>
      </c>
      <c r="G29" s="3" t="str">
        <f>_xlfn.IFNA(INDEX(Tasks!C:C,MATCH("Government"&amp;D29,Tasks!E:E,0)),"")</f>
        <v/>
      </c>
    </row>
    <row r="30" spans="1:7" x14ac:dyDescent="0.2">
      <c r="A30" s="3" t="str">
        <f t="shared" si="4"/>
        <v xml:space="preserve"> </v>
      </c>
      <c r="B30" s="3" t="str">
        <f>IF(C30="","",INDEX(Tasks!$B:$B,MATCH(C30,Tasks!$C:$C,0)))</f>
        <v/>
      </c>
      <c r="C30" s="48" t="str">
        <f>_xlfn.IFNA(INDEX(Tasks!C:C,MATCH("Client"&amp;D30,Tasks!E:E,0)),"")</f>
        <v/>
      </c>
      <c r="D30" s="39">
        <v>29</v>
      </c>
      <c r="E30" s="3" t="str">
        <f t="shared" si="1"/>
        <v xml:space="preserve"> </v>
      </c>
      <c r="F30" s="3" t="str">
        <f>IF(G30="","",INDEX(Tasks!$B:$B,MATCH(G30,Tasks!$C:$C,0)))</f>
        <v/>
      </c>
      <c r="G30" s="3" t="str">
        <f>_xlfn.IFNA(INDEX(Tasks!C:C,MATCH("Government"&amp;D30,Tasks!E:E,0)),"")</f>
        <v/>
      </c>
    </row>
    <row r="31" spans="1:7" x14ac:dyDescent="0.2">
      <c r="A31" s="3" t="str">
        <f t="shared" si="4"/>
        <v xml:space="preserve"> </v>
      </c>
      <c r="B31" s="3" t="str">
        <f>IF(C31="","",INDEX(Tasks!$B:$B,MATCH(C31,Tasks!$C:$C,0)))</f>
        <v/>
      </c>
      <c r="C31" s="48" t="str">
        <f>_xlfn.IFNA(INDEX(Tasks!C:C,MATCH("Client"&amp;D31,Tasks!E:E,0)),"")</f>
        <v/>
      </c>
      <c r="D31" s="39">
        <v>30</v>
      </c>
      <c r="E31" s="3" t="str">
        <f t="shared" si="1"/>
        <v xml:space="preserve"> </v>
      </c>
      <c r="F31" s="3" t="str">
        <f>IF(G31="","",INDEX(Tasks!$B:$B,MATCH(G31,Tasks!$C:$C,0)))</f>
        <v/>
      </c>
      <c r="G31" s="3" t="str">
        <f>_xlfn.IFNA(INDEX(Tasks!C:C,MATCH("Government"&amp;D31,Tasks!E:E,0)),"")</f>
        <v/>
      </c>
    </row>
    <row r="32" spans="1:7" x14ac:dyDescent="0.2">
      <c r="A32" s="3" t="str">
        <f t="shared" si="4"/>
        <v xml:space="preserve"> </v>
      </c>
      <c r="B32" s="3" t="str">
        <f>IF(C32="","",INDEX(Tasks!$B:$B,MATCH(C32,Tasks!$C:$C,0)))</f>
        <v/>
      </c>
      <c r="C32" s="48" t="str">
        <f>_xlfn.IFNA(INDEX(Tasks!C:C,MATCH("Client"&amp;D32,Tasks!E:E,0)),"")</f>
        <v/>
      </c>
      <c r="D32" s="39">
        <v>31</v>
      </c>
      <c r="E32" s="3" t="str">
        <f t="shared" si="1"/>
        <v xml:space="preserve"> </v>
      </c>
      <c r="F32" s="3" t="str">
        <f>IF(G32="","",INDEX(Tasks!$B:$B,MATCH(G32,Tasks!$C:$C,0)))</f>
        <v/>
      </c>
      <c r="G32" s="3" t="str">
        <f>_xlfn.IFNA(INDEX(Tasks!C:C,MATCH("Government"&amp;D32,Tasks!E:E,0)),"")</f>
        <v/>
      </c>
    </row>
    <row r="33" spans="1:7" x14ac:dyDescent="0.2">
      <c r="A33" s="3" t="str">
        <f t="shared" si="4"/>
        <v xml:space="preserve"> </v>
      </c>
      <c r="B33" s="3" t="str">
        <f>IF(C33="","",INDEX(Tasks!$B:$B,MATCH(C33,Tasks!$C:$C,0)))</f>
        <v/>
      </c>
      <c r="C33" s="48" t="str">
        <f>_xlfn.IFNA(INDEX(Tasks!C:C,MATCH("Client"&amp;D33,Tasks!E:E,0)),"")</f>
        <v/>
      </c>
      <c r="D33" s="39">
        <v>32</v>
      </c>
      <c r="E33" s="3" t="str">
        <f t="shared" si="1"/>
        <v xml:space="preserve"> </v>
      </c>
      <c r="F33" s="3" t="str">
        <f>IF(G33="","",INDEX(Tasks!$B:$B,MATCH(G33,Tasks!$C:$C,0)))</f>
        <v/>
      </c>
      <c r="G33" s="3" t="str">
        <f>_xlfn.IFNA(INDEX(Tasks!C:C,MATCH("Government"&amp;D33,Tasks!E:E,0)),"")</f>
        <v/>
      </c>
    </row>
    <row r="34" spans="1:7" x14ac:dyDescent="0.2">
      <c r="A34" s="3" t="str">
        <f t="shared" si="4"/>
        <v xml:space="preserve"> </v>
      </c>
      <c r="B34" s="3" t="str">
        <f>IF(C34="","",INDEX(Tasks!$B:$B,MATCH(C34,Tasks!$C:$C,0)))</f>
        <v/>
      </c>
      <c r="C34" s="48" t="str">
        <f>_xlfn.IFNA(INDEX(Tasks!C:C,MATCH("Client"&amp;D34,Tasks!E:E,0)),"")</f>
        <v/>
      </c>
      <c r="D34" s="39">
        <v>33</v>
      </c>
      <c r="E34" s="3" t="str">
        <f t="shared" si="1"/>
        <v xml:space="preserve"> </v>
      </c>
      <c r="F34" s="3" t="str">
        <f>IF(G34="","",INDEX(Tasks!$B:$B,MATCH(G34,Tasks!$C:$C,0)))</f>
        <v/>
      </c>
      <c r="G34" s="3" t="str">
        <f>_xlfn.IFNA(INDEX(Tasks!C:C,MATCH("Government"&amp;D34,Tasks!E:E,0)),"")</f>
        <v/>
      </c>
    </row>
    <row r="35" spans="1:7" x14ac:dyDescent="0.2">
      <c r="A35" s="3" t="str">
        <f t="shared" si="4"/>
        <v xml:space="preserve"> </v>
      </c>
      <c r="B35" s="3" t="str">
        <f>IF(C35="","",INDEX(Tasks!$B:$B,MATCH(C35,Tasks!$C:$C,0)))</f>
        <v/>
      </c>
      <c r="C35" s="48" t="str">
        <f>_xlfn.IFNA(INDEX(Tasks!C:C,MATCH("Client"&amp;D35,Tasks!E:E,0)),"")</f>
        <v/>
      </c>
      <c r="D35" s="39">
        <v>34</v>
      </c>
      <c r="E35" s="3" t="str">
        <f t="shared" si="1"/>
        <v xml:space="preserve"> </v>
      </c>
      <c r="F35" s="3" t="str">
        <f>IF(G35="","",INDEX(Tasks!$B:$B,MATCH(G35,Tasks!$C:$C,0)))</f>
        <v/>
      </c>
      <c r="G35" s="3" t="str">
        <f>_xlfn.IFNA(INDEX(Tasks!C:C,MATCH("Government"&amp;D35,Tasks!E:E,0)),"")</f>
        <v/>
      </c>
    </row>
    <row r="36" spans="1:7" x14ac:dyDescent="0.2">
      <c r="A36" s="3" t="str">
        <f t="shared" si="4"/>
        <v xml:space="preserve"> </v>
      </c>
      <c r="B36" s="3" t="str">
        <f>IF(C36="","",INDEX(Tasks!$B:$B,MATCH(C36,Tasks!$C:$C,0)))</f>
        <v/>
      </c>
      <c r="C36" s="48" t="str">
        <f>_xlfn.IFNA(INDEX(Tasks!C:C,MATCH("Client"&amp;D36,Tasks!E:E,0)),"")</f>
        <v/>
      </c>
      <c r="D36" s="39">
        <v>35</v>
      </c>
      <c r="E36" s="3" t="str">
        <f t="shared" si="1"/>
        <v xml:space="preserve"> </v>
      </c>
      <c r="F36" s="3" t="str">
        <f>IF(G36="","",INDEX(Tasks!$B:$B,MATCH(G36,Tasks!$C:$C,0)))</f>
        <v/>
      </c>
      <c r="G36" s="3" t="str">
        <f>_xlfn.IFNA(INDEX(Tasks!C:C,MATCH("Government"&amp;D36,Tasks!E:E,0)),"")</f>
        <v/>
      </c>
    </row>
    <row r="37" spans="1:7" x14ac:dyDescent="0.2">
      <c r="A37" s="3" t="str">
        <f t="shared" si="4"/>
        <v xml:space="preserve"> </v>
      </c>
      <c r="B37" s="3" t="str">
        <f>IF(C37="","",INDEX(Tasks!$B:$B,MATCH(C37,Tasks!$C:$C,0)))</f>
        <v/>
      </c>
      <c r="C37" s="48" t="str">
        <f>_xlfn.IFNA(INDEX(Tasks!C:C,MATCH("Client"&amp;D37,Tasks!E:E,0)),"")</f>
        <v/>
      </c>
      <c r="D37" s="39">
        <v>36</v>
      </c>
      <c r="E37" s="3" t="str">
        <f t="shared" si="1"/>
        <v xml:space="preserve"> </v>
      </c>
      <c r="F37" s="3" t="str">
        <f>IF(G37="","",INDEX(Tasks!$B:$B,MATCH(G37,Tasks!$C:$C,0)))</f>
        <v/>
      </c>
      <c r="G37" s="3" t="str">
        <f>_xlfn.IFNA(INDEX(Tasks!C:C,MATCH("Government"&amp;D37,Tasks!E:E,0)),"")</f>
        <v/>
      </c>
    </row>
    <row r="38" spans="1:7" x14ac:dyDescent="0.2">
      <c r="A38" s="3" t="str">
        <f t="shared" si="4"/>
        <v xml:space="preserve"> </v>
      </c>
      <c r="B38" s="3" t="str">
        <f>IF(C38="","",INDEX(Tasks!$B:$B,MATCH(C38,Tasks!$C:$C,0)))</f>
        <v/>
      </c>
      <c r="C38" s="48" t="str">
        <f>_xlfn.IFNA(INDEX(Tasks!C:C,MATCH("Client"&amp;D38,Tasks!E:E,0)),"")</f>
        <v/>
      </c>
      <c r="D38" s="39">
        <v>37</v>
      </c>
      <c r="E38" s="3" t="str">
        <f t="shared" si="1"/>
        <v xml:space="preserve"> </v>
      </c>
      <c r="F38" s="3" t="str">
        <f>IF(G38="","",INDEX(Tasks!$B:$B,MATCH(G38,Tasks!$C:$C,0)))</f>
        <v/>
      </c>
      <c r="G38" s="3" t="str">
        <f>_xlfn.IFNA(INDEX(Tasks!C:C,MATCH("Government"&amp;D38,Tasks!E:E,0)),"")</f>
        <v/>
      </c>
    </row>
    <row r="39" spans="1:7" x14ac:dyDescent="0.2">
      <c r="A39" s="3" t="str">
        <f t="shared" si="4"/>
        <v xml:space="preserve"> </v>
      </c>
      <c r="B39" s="3" t="str">
        <f>IF(C39="","",INDEX(Tasks!$B:$B,MATCH(C39,Tasks!$C:$C,0)))</f>
        <v/>
      </c>
      <c r="C39" s="48" t="str">
        <f>_xlfn.IFNA(INDEX(Tasks!C:C,MATCH("Client"&amp;D39,Tasks!E:E,0)),"")</f>
        <v/>
      </c>
      <c r="D39" s="39">
        <v>38</v>
      </c>
      <c r="E39" s="3" t="str">
        <f t="shared" si="1"/>
        <v xml:space="preserve"> </v>
      </c>
      <c r="F39" s="3" t="str">
        <f>IF(G39="","",INDEX(Tasks!$B:$B,MATCH(G39,Tasks!$C:$C,0)))</f>
        <v/>
      </c>
      <c r="G39" s="3" t="str">
        <f>_xlfn.IFNA(INDEX(Tasks!C:C,MATCH("Government"&amp;D39,Tasks!E:E,0)),"")</f>
        <v/>
      </c>
    </row>
    <row r="40" spans="1:7" x14ac:dyDescent="0.2">
      <c r="A40" s="3" t="str">
        <f t="shared" si="4"/>
        <v xml:space="preserve"> </v>
      </c>
      <c r="B40" s="3" t="str">
        <f>IF(C40="","",INDEX(Tasks!$B:$B,MATCH(C40,Tasks!$C:$C,0)))</f>
        <v/>
      </c>
      <c r="C40" s="48" t="str">
        <f>_xlfn.IFNA(INDEX(Tasks!C:C,MATCH("Client"&amp;D40,Tasks!E:E,0)),"")</f>
        <v/>
      </c>
      <c r="D40" s="39">
        <v>39</v>
      </c>
      <c r="E40" s="3" t="str">
        <f t="shared" si="1"/>
        <v xml:space="preserve"> </v>
      </c>
      <c r="F40" s="3" t="str">
        <f>IF(G40="","",INDEX(Tasks!$B:$B,MATCH(G40,Tasks!$C:$C,0)))</f>
        <v/>
      </c>
      <c r="G40" s="3" t="str">
        <f>_xlfn.IFNA(INDEX(Tasks!C:C,MATCH("Government"&amp;D40,Tasks!E:E,0)),"")</f>
        <v/>
      </c>
    </row>
    <row r="41" spans="1:7" x14ac:dyDescent="0.2">
      <c r="A41" s="3" t="str">
        <f t="shared" si="4"/>
        <v xml:space="preserve"> </v>
      </c>
      <c r="B41" s="3" t="str">
        <f>IF(C41="","",INDEX(Tasks!$B:$B,MATCH(C41,Tasks!$C:$C,0)))</f>
        <v/>
      </c>
      <c r="C41" s="48" t="str">
        <f>_xlfn.IFNA(INDEX(Tasks!C:C,MATCH("Client"&amp;D41,Tasks!E:E,0)),"")</f>
        <v/>
      </c>
      <c r="D41" s="39">
        <v>40</v>
      </c>
      <c r="E41" s="3" t="str">
        <f t="shared" si="1"/>
        <v xml:space="preserve"> </v>
      </c>
      <c r="F41" s="3" t="str">
        <f>IF(G41="","",INDEX(Tasks!$B:$B,MATCH(G41,Tasks!$C:$C,0)))</f>
        <v/>
      </c>
      <c r="G41" s="3" t="str">
        <f>_xlfn.IFNA(INDEX(Tasks!C:C,MATCH("Government"&amp;D41,Tasks!E:E,0)),"")</f>
        <v/>
      </c>
    </row>
    <row r="42" spans="1:7" x14ac:dyDescent="0.2">
      <c r="A42" s="3" t="str">
        <f t="shared" si="4"/>
        <v xml:space="preserve"> </v>
      </c>
      <c r="B42" s="3" t="str">
        <f>IF(C42="","",INDEX(Tasks!$B:$B,MATCH(C42,Tasks!$C:$C,0)))</f>
        <v/>
      </c>
      <c r="C42" s="48" t="str">
        <f>_xlfn.IFNA(INDEX(Tasks!C:C,MATCH("Client"&amp;D42,Tasks!E:E,0)),"")</f>
        <v/>
      </c>
      <c r="D42" s="39">
        <v>41</v>
      </c>
      <c r="E42" s="3" t="str">
        <f t="shared" si="1"/>
        <v xml:space="preserve"> </v>
      </c>
      <c r="F42" s="3" t="str">
        <f>IF(G42="","",INDEX(Tasks!$B:$B,MATCH(G42,Tasks!$C:$C,0)))</f>
        <v/>
      </c>
      <c r="G42" s="3" t="str">
        <f>_xlfn.IFNA(INDEX(Tasks!C:C,MATCH("Government"&amp;D42,Tasks!E:E,0)),"")</f>
        <v/>
      </c>
    </row>
    <row r="43" spans="1:7" x14ac:dyDescent="0.2">
      <c r="A43" s="3" t="str">
        <f t="shared" si="4"/>
        <v xml:space="preserve"> </v>
      </c>
      <c r="B43" s="3" t="str">
        <f>IF(C43="","",INDEX(Tasks!$B:$B,MATCH(C43,Tasks!$C:$C,0)))</f>
        <v/>
      </c>
      <c r="C43" s="48" t="str">
        <f>_xlfn.IFNA(INDEX(Tasks!C:C,MATCH("Client"&amp;D43,Tasks!E:E,0)),"")</f>
        <v/>
      </c>
      <c r="D43" s="39">
        <v>42</v>
      </c>
      <c r="E43" s="3" t="str">
        <f t="shared" si="1"/>
        <v xml:space="preserve"> </v>
      </c>
      <c r="F43" s="3" t="str">
        <f>IF(G43="","",INDEX(Tasks!$B:$B,MATCH(G43,Tasks!$C:$C,0)))</f>
        <v/>
      </c>
      <c r="G43" s="3" t="str">
        <f>_xlfn.IFNA(INDEX(Tasks!C:C,MATCH("Government"&amp;D43,Tasks!E:E,0)),"")</f>
        <v/>
      </c>
    </row>
    <row r="44" spans="1:7" x14ac:dyDescent="0.2">
      <c r="A44" s="3" t="str">
        <f t="shared" si="4"/>
        <v xml:space="preserve"> </v>
      </c>
      <c r="B44" s="3" t="str">
        <f>IF(C44="","",INDEX(Tasks!$B:$B,MATCH(C44,Tasks!$C:$C,0)))</f>
        <v/>
      </c>
      <c r="C44" s="48" t="str">
        <f>_xlfn.IFNA(INDEX(Tasks!C:C,MATCH("Client"&amp;D44,Tasks!E:E,0)),"")</f>
        <v/>
      </c>
      <c r="D44" s="39">
        <v>43</v>
      </c>
      <c r="E44" s="3" t="str">
        <f t="shared" si="1"/>
        <v xml:space="preserve"> </v>
      </c>
      <c r="F44" s="3" t="str">
        <f>IF(G44="","",INDEX(Tasks!$B:$B,MATCH(G44,Tasks!$C:$C,0)))</f>
        <v/>
      </c>
      <c r="G44" s="3" t="str">
        <f>_xlfn.IFNA(INDEX(Tasks!C:C,MATCH("Government"&amp;D44,Tasks!E:E,0)),"")</f>
        <v/>
      </c>
    </row>
    <row r="45" spans="1:7" x14ac:dyDescent="0.2">
      <c r="A45" s="3" t="str">
        <f t="shared" si="4"/>
        <v xml:space="preserve"> </v>
      </c>
      <c r="B45" s="3" t="str">
        <f>IF(C45="","",INDEX(Tasks!$B:$B,MATCH(C45,Tasks!$C:$C,0)))</f>
        <v/>
      </c>
      <c r="C45" s="48" t="str">
        <f>_xlfn.IFNA(INDEX(Tasks!C:C,MATCH("Client"&amp;D45,Tasks!E:E,0)),"")</f>
        <v/>
      </c>
      <c r="D45" s="39">
        <v>44</v>
      </c>
      <c r="E45" s="3" t="str">
        <f t="shared" si="1"/>
        <v xml:space="preserve"> </v>
      </c>
      <c r="F45" s="3" t="str">
        <f>IF(G45="","",INDEX(Tasks!$B:$B,MATCH(G45,Tasks!$C:$C,0)))</f>
        <v/>
      </c>
      <c r="G45" s="3" t="str">
        <f>_xlfn.IFNA(INDEX(Tasks!C:C,MATCH("Government"&amp;D45,Tasks!E:E,0)),"")</f>
        <v/>
      </c>
    </row>
    <row r="46" spans="1:7" x14ac:dyDescent="0.2">
      <c r="A46" s="3" t="str">
        <f t="shared" si="4"/>
        <v xml:space="preserve"> </v>
      </c>
      <c r="B46" s="3" t="str">
        <f>IF(C46="","",INDEX(Tasks!$B:$B,MATCH(C46,Tasks!$C:$C,0)))</f>
        <v/>
      </c>
      <c r="C46" s="48" t="str">
        <f>_xlfn.IFNA(INDEX(Tasks!C:C,MATCH("Client"&amp;D46,Tasks!E:E,0)),"")</f>
        <v/>
      </c>
      <c r="D46" s="39">
        <v>45</v>
      </c>
      <c r="E46" s="3" t="str">
        <f t="shared" si="1"/>
        <v xml:space="preserve"> </v>
      </c>
      <c r="F46" s="3" t="str">
        <f>IF(G46="","",INDEX(Tasks!$B:$B,MATCH(G46,Tasks!$C:$C,0)))</f>
        <v/>
      </c>
      <c r="G46" s="3" t="str">
        <f>_xlfn.IFNA(INDEX(Tasks!C:C,MATCH("Government"&amp;D46,Tasks!E:E,0)),"")</f>
        <v/>
      </c>
    </row>
    <row r="47" spans="1:7" x14ac:dyDescent="0.2">
      <c r="A47" s="3" t="str">
        <f t="shared" si="4"/>
        <v xml:space="preserve"> </v>
      </c>
      <c r="B47" s="3" t="str">
        <f>IF(C47="","",INDEX(Tasks!$B:$B,MATCH(C47,Tasks!$C:$C,0)))</f>
        <v/>
      </c>
      <c r="C47" s="48" t="str">
        <f>_xlfn.IFNA(INDEX(Tasks!C:C,MATCH("Client"&amp;D47,Tasks!E:E,0)),"")</f>
        <v/>
      </c>
      <c r="D47" s="39">
        <v>46</v>
      </c>
      <c r="E47" s="3" t="str">
        <f t="shared" si="1"/>
        <v xml:space="preserve"> </v>
      </c>
      <c r="F47" s="3" t="str">
        <f>IF(G47="","",INDEX(Tasks!$B:$B,MATCH(G47,Tasks!$C:$C,0)))</f>
        <v/>
      </c>
      <c r="G47" s="3" t="str">
        <f>_xlfn.IFNA(INDEX(Tasks!C:C,MATCH("Government"&amp;D47,Tasks!E:E,0)),"")</f>
        <v/>
      </c>
    </row>
    <row r="48" spans="1:7" x14ac:dyDescent="0.2">
      <c r="A48" s="3" t="str">
        <f t="shared" si="4"/>
        <v xml:space="preserve"> </v>
      </c>
      <c r="B48" s="3" t="str">
        <f>IF(C48="","",INDEX(Tasks!$B:$B,MATCH(C48,Tasks!$C:$C,0)))</f>
        <v/>
      </c>
      <c r="C48" s="48" t="str">
        <f>_xlfn.IFNA(INDEX(Tasks!C:C,MATCH("Client"&amp;D48,Tasks!E:E,0)),"")</f>
        <v/>
      </c>
      <c r="D48" s="39">
        <v>47</v>
      </c>
      <c r="E48" s="3" t="str">
        <f t="shared" si="1"/>
        <v xml:space="preserve"> </v>
      </c>
      <c r="F48" s="3" t="str">
        <f>IF(G48="","",INDEX(Tasks!$B:$B,MATCH(G48,Tasks!$C:$C,0)))</f>
        <v/>
      </c>
      <c r="G48" s="3" t="str">
        <f>_xlfn.IFNA(INDEX(Tasks!C:C,MATCH("Government"&amp;D48,Tasks!E:E,0)),"")</f>
        <v/>
      </c>
    </row>
    <row r="49" spans="1:7" x14ac:dyDescent="0.2">
      <c r="A49" s="3" t="str">
        <f t="shared" si="4"/>
        <v xml:space="preserve"> </v>
      </c>
      <c r="B49" s="3" t="str">
        <f>IF(C49="","",INDEX(Tasks!$B:$B,MATCH(C49,Tasks!$C:$C,0)))</f>
        <v/>
      </c>
      <c r="C49" s="48" t="str">
        <f>_xlfn.IFNA(INDEX(Tasks!C:C,MATCH("Client"&amp;D49,Tasks!E:E,0)),"")</f>
        <v/>
      </c>
      <c r="D49" s="39">
        <v>48</v>
      </c>
      <c r="E49" s="3" t="str">
        <f t="shared" si="1"/>
        <v xml:space="preserve"> </v>
      </c>
      <c r="F49" s="3" t="str">
        <f>IF(G49="","",INDEX(Tasks!$B:$B,MATCH(G49,Tasks!$C:$C,0)))</f>
        <v/>
      </c>
      <c r="G49" s="3" t="str">
        <f>_xlfn.IFNA(INDEX(Tasks!C:C,MATCH("Government"&amp;D49,Tasks!E:E,0)),"")</f>
        <v/>
      </c>
    </row>
    <row r="50" spans="1:7" x14ac:dyDescent="0.2">
      <c r="A50" s="3" t="str">
        <f t="shared" si="4"/>
        <v xml:space="preserve"> </v>
      </c>
      <c r="B50" s="3" t="str">
        <f>IF(C50="","",INDEX(Tasks!$B:$B,MATCH(C50,Tasks!$C:$C,0)))</f>
        <v/>
      </c>
      <c r="C50" s="48" t="str">
        <f>_xlfn.IFNA(INDEX(Tasks!C:C,MATCH("Client"&amp;D50,Tasks!E:E,0)),"")</f>
        <v/>
      </c>
      <c r="D50" s="39">
        <v>49</v>
      </c>
      <c r="E50" s="3" t="str">
        <f t="shared" si="1"/>
        <v xml:space="preserve"> </v>
      </c>
      <c r="F50" s="3" t="str">
        <f>IF(G50="","",INDEX(Tasks!$B:$B,MATCH(G50,Tasks!$C:$C,0)))</f>
        <v/>
      </c>
      <c r="G50" s="3" t="str">
        <f>_xlfn.IFNA(INDEX(Tasks!C:C,MATCH("Government"&amp;D50,Tasks!E:E,0)),"")</f>
        <v/>
      </c>
    </row>
    <row r="51" spans="1:7" x14ac:dyDescent="0.2">
      <c r="A51" s="3" t="str">
        <f t="shared" si="4"/>
        <v xml:space="preserve"> </v>
      </c>
      <c r="B51" s="3" t="str">
        <f>IF(C51="","",INDEX(Tasks!$B:$B,MATCH(C51,Tasks!$C:$C,0)))</f>
        <v/>
      </c>
      <c r="C51" s="48" t="str">
        <f>_xlfn.IFNA(INDEX(Tasks!C:C,MATCH("Client"&amp;D51,Tasks!E:E,0)),"")</f>
        <v/>
      </c>
      <c r="D51" s="39">
        <v>50</v>
      </c>
      <c r="E51" s="3" t="str">
        <f t="shared" si="1"/>
        <v xml:space="preserve"> </v>
      </c>
      <c r="F51" s="3" t="str">
        <f>IF(G51="","",INDEX(Tasks!$B:$B,MATCH(G51,Tasks!$C:$C,0)))</f>
        <v/>
      </c>
      <c r="G51" s="3" t="str">
        <f>_xlfn.IFNA(INDEX(Tasks!C:C,MATCH("Government"&amp;D51,Tasks!E:E,0)),"")</f>
        <v/>
      </c>
    </row>
    <row r="52" spans="1:7" x14ac:dyDescent="0.2">
      <c r="A52" s="3" t="str">
        <f t="shared" si="4"/>
        <v xml:space="preserve"> </v>
      </c>
      <c r="B52" s="3" t="str">
        <f>IF(C52="","",INDEX(Tasks!$B:$B,MATCH(C52,Tasks!$C:$C,0)))</f>
        <v/>
      </c>
      <c r="C52" s="48" t="str">
        <f>_xlfn.IFNA(INDEX(Tasks!C:C,MATCH("Client"&amp;D52,Tasks!E:E,0)),"")</f>
        <v/>
      </c>
      <c r="D52" s="39">
        <v>51</v>
      </c>
      <c r="E52" s="3" t="str">
        <f t="shared" si="1"/>
        <v xml:space="preserve"> </v>
      </c>
      <c r="F52" s="3" t="str">
        <f>IF(G52="","",INDEX(Tasks!$B:$B,MATCH(G52,Tasks!$C:$C,0)))</f>
        <v/>
      </c>
      <c r="G52" s="3" t="str">
        <f>_xlfn.IFNA(INDEX(Tasks!C:C,MATCH("Government"&amp;D52,Tasks!E:E,0)),"")</f>
        <v/>
      </c>
    </row>
    <row r="53" spans="1:7" x14ac:dyDescent="0.2">
      <c r="A53" s="3" t="str">
        <f t="shared" si="4"/>
        <v xml:space="preserve"> </v>
      </c>
      <c r="B53" s="3" t="str">
        <f>IF(C53="","",INDEX(Tasks!$B:$B,MATCH(C53,Tasks!$C:$C,0)))</f>
        <v/>
      </c>
      <c r="C53" s="48" t="str">
        <f>_xlfn.IFNA(INDEX(Tasks!C:C,MATCH("Client"&amp;D53,Tasks!E:E,0)),"")</f>
        <v/>
      </c>
      <c r="D53" s="39">
        <v>52</v>
      </c>
      <c r="E53" s="3" t="str">
        <f t="shared" si="1"/>
        <v xml:space="preserve"> </v>
      </c>
      <c r="F53" s="3" t="str">
        <f>IF(G53="","",INDEX(Tasks!$B:$B,MATCH(G53,Tasks!$C:$C,0)))</f>
        <v/>
      </c>
      <c r="G53" s="3" t="str">
        <f>_xlfn.IFNA(INDEX(Tasks!C:C,MATCH("Government"&amp;D53,Tasks!E:E,0)),"")</f>
        <v/>
      </c>
    </row>
    <row r="54" spans="1:7" x14ac:dyDescent="0.2">
      <c r="A54" s="3" t="str">
        <f t="shared" si="4"/>
        <v xml:space="preserve"> </v>
      </c>
      <c r="B54" s="3" t="str">
        <f>IF(C54="","",INDEX(Tasks!$B:$B,MATCH(C54,Tasks!$C:$C,0)))</f>
        <v/>
      </c>
      <c r="C54" s="48" t="str">
        <f>_xlfn.IFNA(INDEX(Tasks!C:C,MATCH("Client"&amp;D54,Tasks!E:E,0)),"")</f>
        <v/>
      </c>
      <c r="D54" s="39">
        <v>53</v>
      </c>
      <c r="E54" s="3" t="str">
        <f t="shared" si="1"/>
        <v xml:space="preserve"> </v>
      </c>
      <c r="F54" s="3" t="str">
        <f>IF(G54="","",INDEX(Tasks!$B:$B,MATCH(G54,Tasks!$C:$C,0)))</f>
        <v/>
      </c>
      <c r="G54" s="3" t="str">
        <f>_xlfn.IFNA(INDEX(Tasks!C:C,MATCH("Government"&amp;D54,Tasks!E:E,0)),"")</f>
        <v/>
      </c>
    </row>
    <row r="55" spans="1:7" x14ac:dyDescent="0.2">
      <c r="A55" s="3" t="str">
        <f t="shared" si="4"/>
        <v xml:space="preserve"> </v>
      </c>
      <c r="B55" s="3" t="str">
        <f>IF(C55="","",INDEX(Tasks!$B:$B,MATCH(C55,Tasks!$C:$C,0)))</f>
        <v/>
      </c>
      <c r="C55" s="48" t="str">
        <f>_xlfn.IFNA(INDEX(Tasks!C:C,MATCH("Client"&amp;D55,Tasks!E:E,0)),"")</f>
        <v/>
      </c>
      <c r="D55" s="39">
        <v>54</v>
      </c>
      <c r="E55" s="3" t="str">
        <f t="shared" si="1"/>
        <v xml:space="preserve"> </v>
      </c>
      <c r="F55" s="3" t="str">
        <f>IF(G55="","",INDEX(Tasks!$B:$B,MATCH(G55,Tasks!$C:$C,0)))</f>
        <v/>
      </c>
      <c r="G55" s="3" t="str">
        <f>_xlfn.IFNA(INDEX(Tasks!C:C,MATCH("Government"&amp;D55,Tasks!E:E,0)),"")</f>
        <v/>
      </c>
    </row>
    <row r="56" spans="1:7" x14ac:dyDescent="0.2">
      <c r="A56" s="3" t="str">
        <f t="shared" si="4"/>
        <v xml:space="preserve"> </v>
      </c>
      <c r="B56" s="3" t="str">
        <f>IF(C56="","",INDEX(Tasks!$B:$B,MATCH(C56,Tasks!$C:$C,0)))</f>
        <v/>
      </c>
      <c r="C56" s="48" t="str">
        <f>_xlfn.IFNA(INDEX(Tasks!C:C,MATCH("Client"&amp;D56,Tasks!E:E,0)),"")</f>
        <v/>
      </c>
      <c r="D56" s="39">
        <v>55</v>
      </c>
      <c r="E56" s="3" t="str">
        <f t="shared" si="1"/>
        <v xml:space="preserve"> </v>
      </c>
      <c r="F56" s="3" t="str">
        <f>IF(G56="","",INDEX(Tasks!$B:$B,MATCH(G56,Tasks!$C:$C,0)))</f>
        <v/>
      </c>
      <c r="G56" s="3" t="str">
        <f>_xlfn.IFNA(INDEX(Tasks!C:C,MATCH("Government"&amp;D56,Tasks!E:E,0)),"")</f>
        <v/>
      </c>
    </row>
    <row r="57" spans="1:7" x14ac:dyDescent="0.2">
      <c r="A57" s="3" t="str">
        <f t="shared" si="4"/>
        <v xml:space="preserve"> </v>
      </c>
      <c r="B57" s="3" t="str">
        <f>IF(C57="","",INDEX(Tasks!$B:$B,MATCH(C57,Tasks!$C:$C,0)))</f>
        <v/>
      </c>
      <c r="C57" s="48" t="str">
        <f>_xlfn.IFNA(INDEX(Tasks!C:C,MATCH("Client"&amp;D57,Tasks!E:E,0)),"")</f>
        <v/>
      </c>
      <c r="D57" s="39">
        <v>56</v>
      </c>
      <c r="E57" s="3" t="str">
        <f t="shared" si="1"/>
        <v xml:space="preserve"> </v>
      </c>
      <c r="F57" s="3" t="str">
        <f>IF(G57="","",INDEX(Tasks!$B:$B,MATCH(G57,Tasks!$C:$C,0)))</f>
        <v/>
      </c>
      <c r="G57" s="3" t="str">
        <f>_xlfn.IFNA(INDEX(Tasks!C:C,MATCH("Government"&amp;D57,Tasks!E:E,0)),"")</f>
        <v/>
      </c>
    </row>
    <row r="58" spans="1:7" x14ac:dyDescent="0.2">
      <c r="A58" s="3" t="str">
        <f t="shared" si="4"/>
        <v xml:space="preserve"> </v>
      </c>
      <c r="B58" s="3" t="str">
        <f>IF(C58="","",INDEX(Tasks!$B:$B,MATCH(C58,Tasks!$C:$C,0)))</f>
        <v/>
      </c>
      <c r="C58" s="48" t="str">
        <f>_xlfn.IFNA(INDEX(Tasks!C:C,MATCH("Client"&amp;D58,Tasks!E:E,0)),"")</f>
        <v/>
      </c>
      <c r="D58" s="39">
        <v>57</v>
      </c>
      <c r="E58" s="3" t="str">
        <f t="shared" si="1"/>
        <v xml:space="preserve"> </v>
      </c>
      <c r="F58" s="3" t="str">
        <f>IF(G58="","",INDEX(Tasks!$B:$B,MATCH(G58,Tasks!$C:$C,0)))</f>
        <v/>
      </c>
      <c r="G58" s="3" t="str">
        <f>_xlfn.IFNA(INDEX(Tasks!C:C,MATCH("Government"&amp;D58,Tasks!E:E,0)),"")</f>
        <v/>
      </c>
    </row>
    <row r="59" spans="1:7" x14ac:dyDescent="0.2">
      <c r="A59" s="3" t="str">
        <f t="shared" si="4"/>
        <v xml:space="preserve"> </v>
      </c>
      <c r="B59" s="3" t="str">
        <f>IF(C59="","",INDEX(Tasks!$B:$B,MATCH(C59,Tasks!$C:$C,0)))</f>
        <v/>
      </c>
      <c r="C59" s="48" t="str">
        <f>_xlfn.IFNA(INDEX(Tasks!C:C,MATCH("Client"&amp;D59,Tasks!E:E,0)),"")</f>
        <v/>
      </c>
      <c r="D59" s="39">
        <v>58</v>
      </c>
      <c r="E59" s="3" t="str">
        <f t="shared" si="1"/>
        <v xml:space="preserve"> </v>
      </c>
      <c r="F59" s="3" t="str">
        <f>IF(G59="","",INDEX(Tasks!$B:$B,MATCH(G59,Tasks!$C:$C,0)))</f>
        <v/>
      </c>
      <c r="G59" s="3" t="str">
        <f>_xlfn.IFNA(INDEX(Tasks!C:C,MATCH("Government"&amp;D59,Tasks!E:E,0)),"")</f>
        <v/>
      </c>
    </row>
    <row r="60" spans="1:7" x14ac:dyDescent="0.2">
      <c r="A60" s="3" t="str">
        <f t="shared" si="4"/>
        <v xml:space="preserve"> </v>
      </c>
      <c r="B60" s="3" t="str">
        <f>IF(C60="","",INDEX(Tasks!$B:$B,MATCH(C60,Tasks!$C:$C,0)))</f>
        <v/>
      </c>
      <c r="C60" s="48" t="str">
        <f>_xlfn.IFNA(INDEX(Tasks!C:C,MATCH("Client"&amp;D60,Tasks!E:E,0)),"")</f>
        <v/>
      </c>
      <c r="D60" s="39">
        <v>59</v>
      </c>
      <c r="E60" s="3" t="str">
        <f t="shared" si="1"/>
        <v xml:space="preserve"> </v>
      </c>
      <c r="F60" s="3" t="str">
        <f>IF(G60="","",INDEX(Tasks!$B:$B,MATCH(G60,Tasks!$C:$C,0)))</f>
        <v/>
      </c>
      <c r="G60" s="3" t="str">
        <f>_xlfn.IFNA(INDEX(Tasks!C:C,MATCH("Government"&amp;D60,Tasks!E:E,0)),"")</f>
        <v/>
      </c>
    </row>
    <row r="61" spans="1:7" x14ac:dyDescent="0.2">
      <c r="A61" s="3" t="str">
        <f t="shared" si="4"/>
        <v xml:space="preserve"> </v>
      </c>
      <c r="B61" s="3" t="str">
        <f>IF(C61="","",INDEX(Tasks!$B:$B,MATCH(C61,Tasks!$C:$C,0)))</f>
        <v/>
      </c>
      <c r="C61" s="48" t="str">
        <f>_xlfn.IFNA(INDEX(Tasks!C:C,MATCH("Client"&amp;D61,Tasks!E:E,0)),"")</f>
        <v/>
      </c>
      <c r="D61" s="39">
        <v>60</v>
      </c>
      <c r="E61" s="3" t="str">
        <f t="shared" si="1"/>
        <v xml:space="preserve"> </v>
      </c>
      <c r="F61" s="3" t="str">
        <f>IF(G61="","",INDEX(Tasks!$B:$B,MATCH(G61,Tasks!$C:$C,0)))</f>
        <v/>
      </c>
      <c r="G61" s="3" t="str">
        <f>_xlfn.IFNA(INDEX(Tasks!C:C,MATCH("Government"&amp;D61,Tasks!E:E,0)),"")</f>
        <v/>
      </c>
    </row>
    <row r="62" spans="1:7" x14ac:dyDescent="0.2">
      <c r="A62" s="3" t="str">
        <f t="shared" si="4"/>
        <v xml:space="preserve"> </v>
      </c>
      <c r="B62" s="3" t="str">
        <f>IF(C62="","",INDEX(Tasks!$B:$B,MATCH(C62,Tasks!$C:$C,0)))</f>
        <v/>
      </c>
      <c r="C62" s="48" t="str">
        <f>_xlfn.IFNA(INDEX(Tasks!C:C,MATCH("Client"&amp;D62,Tasks!E:E,0)),"")</f>
        <v/>
      </c>
      <c r="D62" s="39">
        <v>61</v>
      </c>
      <c r="E62" s="3" t="str">
        <f t="shared" si="1"/>
        <v xml:space="preserve"> </v>
      </c>
      <c r="F62" s="3" t="str">
        <f>IF(G62="","",INDEX(Tasks!$B:$B,MATCH(G62,Tasks!$C:$C,0)))</f>
        <v/>
      </c>
      <c r="G62" s="3" t="str">
        <f>_xlfn.IFNA(INDEX(Tasks!C:C,MATCH("Government"&amp;D62,Tasks!E:E,0)),"")</f>
        <v/>
      </c>
    </row>
    <row r="63" spans="1:7" x14ac:dyDescent="0.2">
      <c r="A63" s="3" t="str">
        <f t="shared" si="4"/>
        <v xml:space="preserve"> </v>
      </c>
      <c r="B63" s="3" t="str">
        <f>IF(C63="","",INDEX(Tasks!$B:$B,MATCH(C63,Tasks!$C:$C,0)))</f>
        <v/>
      </c>
      <c r="C63" s="48" t="str">
        <f>_xlfn.IFNA(INDEX(Tasks!C:C,MATCH("Client"&amp;D63,Tasks!E:E,0)),"")</f>
        <v/>
      </c>
      <c r="D63" s="39">
        <v>62</v>
      </c>
      <c r="E63" s="3" t="str">
        <f t="shared" si="1"/>
        <v xml:space="preserve"> </v>
      </c>
      <c r="F63" s="3" t="str">
        <f>IF(G63="","",INDEX(Tasks!$B:$B,MATCH(G63,Tasks!$C:$C,0)))</f>
        <v/>
      </c>
      <c r="G63" s="3" t="str">
        <f>_xlfn.IFNA(INDEX(Tasks!C:C,MATCH("Government"&amp;D63,Tasks!E:E,0)),"")</f>
        <v/>
      </c>
    </row>
    <row r="64" spans="1:7" x14ac:dyDescent="0.2">
      <c r="A64" s="3" t="str">
        <f t="shared" si="4"/>
        <v xml:space="preserve"> </v>
      </c>
      <c r="B64" s="3" t="str">
        <f>IF(C64="","",INDEX(Tasks!$B:$B,MATCH(C64,Tasks!$C:$C,0)))</f>
        <v/>
      </c>
      <c r="C64" s="48" t="str">
        <f>_xlfn.IFNA(INDEX(Tasks!C:C,MATCH("Client"&amp;D64,Tasks!E:E,0)),"")</f>
        <v/>
      </c>
      <c r="D64" s="39">
        <v>63</v>
      </c>
      <c r="E64" s="3" t="str">
        <f t="shared" si="1"/>
        <v xml:space="preserve"> </v>
      </c>
      <c r="F64" s="3" t="str">
        <f>IF(G64="","",INDEX(Tasks!$B:$B,MATCH(G64,Tasks!$C:$C,0)))</f>
        <v/>
      </c>
      <c r="G64" s="3" t="str">
        <f>_xlfn.IFNA(INDEX(Tasks!C:C,MATCH("Government"&amp;D64,Tasks!E:E,0)),"")</f>
        <v/>
      </c>
    </row>
    <row r="65" spans="1:7" x14ac:dyDescent="0.2">
      <c r="A65" s="3" t="str">
        <f t="shared" si="4"/>
        <v xml:space="preserve"> </v>
      </c>
      <c r="B65" s="3" t="str">
        <f>IF(C65="","",INDEX(Tasks!$B:$B,MATCH(C65,Tasks!$C:$C,0)))</f>
        <v/>
      </c>
      <c r="C65" s="48" t="str">
        <f>_xlfn.IFNA(INDEX(Tasks!C:C,MATCH("Client"&amp;D65,Tasks!E:E,0)),"")</f>
        <v/>
      </c>
      <c r="D65" s="39">
        <v>64</v>
      </c>
      <c r="E65" s="3" t="str">
        <f t="shared" si="1"/>
        <v xml:space="preserve"> </v>
      </c>
      <c r="F65" s="3" t="str">
        <f>IF(G65="","",INDEX(Tasks!$B:$B,MATCH(G65,Tasks!$C:$C,0)))</f>
        <v/>
      </c>
      <c r="G65" s="3" t="str">
        <f>_xlfn.IFNA(INDEX(Tasks!C:C,MATCH("Government"&amp;D65,Tasks!E:E,0)),"")</f>
        <v/>
      </c>
    </row>
    <row r="66" spans="1:7" x14ac:dyDescent="0.2">
      <c r="A66" s="3" t="str">
        <f t="shared" si="4"/>
        <v xml:space="preserve"> </v>
      </c>
      <c r="B66" s="3" t="str">
        <f>IF(C66="","",INDEX(Tasks!$B:$B,MATCH(C66,Tasks!$C:$C,0)))</f>
        <v/>
      </c>
      <c r="C66" s="48" t="str">
        <f>_xlfn.IFNA(INDEX(Tasks!C:C,MATCH("Client"&amp;D66,Tasks!E:E,0)),"")</f>
        <v/>
      </c>
      <c r="D66" s="39">
        <v>65</v>
      </c>
      <c r="E66" s="3" t="str">
        <f t="shared" si="1"/>
        <v xml:space="preserve"> </v>
      </c>
      <c r="F66" s="3" t="str">
        <f>IF(G66="","",INDEX(Tasks!$B:$B,MATCH(G66,Tasks!$C:$C,0)))</f>
        <v/>
      </c>
      <c r="G66" s="3" t="str">
        <f>_xlfn.IFNA(INDEX(Tasks!C:C,MATCH("Government"&amp;D66,Tasks!E:E,0)),"")</f>
        <v/>
      </c>
    </row>
    <row r="67" spans="1:7" x14ac:dyDescent="0.2">
      <c r="A67" s="3" t="str">
        <f t="shared" si="4"/>
        <v xml:space="preserve"> </v>
      </c>
      <c r="B67" s="3" t="str">
        <f>IF(C67="","",INDEX(Tasks!$B:$B,MATCH(C67,Tasks!$C:$C,0)))</f>
        <v/>
      </c>
      <c r="C67" s="48" t="str">
        <f>_xlfn.IFNA(INDEX(Tasks!C:C,MATCH("Client"&amp;D67,Tasks!E:E,0)),"")</f>
        <v/>
      </c>
      <c r="D67" s="39">
        <v>66</v>
      </c>
      <c r="E67" s="3" t="str">
        <f t="shared" ref="E67:E100" si="5">F67&amp;" "&amp;G67</f>
        <v xml:space="preserve"> </v>
      </c>
      <c r="F67" s="3" t="str">
        <f>IF(G67="","",INDEX(Tasks!$B:$B,MATCH(G67,Tasks!$C:$C,0)))</f>
        <v/>
      </c>
      <c r="G67" s="3" t="str">
        <f>_xlfn.IFNA(INDEX(Tasks!C:C,MATCH("Government"&amp;D67,Tasks!E:E,0)),"")</f>
        <v/>
      </c>
    </row>
    <row r="68" spans="1:7" x14ac:dyDescent="0.2">
      <c r="A68" s="3" t="str">
        <f t="shared" si="4"/>
        <v xml:space="preserve"> </v>
      </c>
      <c r="B68" s="3" t="str">
        <f>IF(C68="","",INDEX(Tasks!$B:$B,MATCH(C68,Tasks!$C:$C,0)))</f>
        <v/>
      </c>
      <c r="C68" s="48" t="str">
        <f>_xlfn.IFNA(INDEX(Tasks!C:C,MATCH("Client"&amp;D68,Tasks!E:E,0)),"")</f>
        <v/>
      </c>
      <c r="D68" s="39">
        <v>67</v>
      </c>
      <c r="E68" s="3" t="str">
        <f t="shared" si="5"/>
        <v xml:space="preserve"> </v>
      </c>
      <c r="F68" s="3" t="str">
        <f>IF(G68="","",INDEX(Tasks!$B:$B,MATCH(G68,Tasks!$C:$C,0)))</f>
        <v/>
      </c>
      <c r="G68" s="3" t="str">
        <f>_xlfn.IFNA(INDEX(Tasks!C:C,MATCH("Government"&amp;D68,Tasks!E:E,0)),"")</f>
        <v/>
      </c>
    </row>
    <row r="69" spans="1:7" x14ac:dyDescent="0.2">
      <c r="A69" s="3" t="str">
        <f t="shared" si="4"/>
        <v xml:space="preserve"> </v>
      </c>
      <c r="B69" s="3" t="str">
        <f>IF(C69="","",INDEX(Tasks!$B:$B,MATCH(C69,Tasks!$C:$C,0)))</f>
        <v/>
      </c>
      <c r="C69" s="48" t="str">
        <f>_xlfn.IFNA(INDEX(Tasks!C:C,MATCH("Client"&amp;D69,Tasks!E:E,0)),"")</f>
        <v/>
      </c>
      <c r="D69" s="39">
        <v>68</v>
      </c>
      <c r="E69" s="3" t="str">
        <f t="shared" si="5"/>
        <v xml:space="preserve"> </v>
      </c>
      <c r="F69" s="3" t="str">
        <f>IF(G69="","",INDEX(Tasks!$B:$B,MATCH(G69,Tasks!$C:$C,0)))</f>
        <v/>
      </c>
      <c r="G69" s="3" t="str">
        <f>_xlfn.IFNA(INDEX(Tasks!C:C,MATCH("Government"&amp;D69,Tasks!E:E,0)),"")</f>
        <v/>
      </c>
    </row>
    <row r="70" spans="1:7" x14ac:dyDescent="0.2">
      <c r="A70" s="3" t="str">
        <f t="shared" si="4"/>
        <v xml:space="preserve"> </v>
      </c>
      <c r="B70" s="3" t="str">
        <f>IF(C70="","",INDEX(Tasks!$B:$B,MATCH(C70,Tasks!$C:$C,0)))</f>
        <v/>
      </c>
      <c r="C70" s="48" t="str">
        <f>_xlfn.IFNA(INDEX(Tasks!C:C,MATCH("Client"&amp;D70,Tasks!E:E,0)),"")</f>
        <v/>
      </c>
      <c r="D70" s="39">
        <v>69</v>
      </c>
      <c r="E70" s="3" t="str">
        <f t="shared" si="5"/>
        <v xml:space="preserve"> </v>
      </c>
      <c r="F70" s="3" t="str">
        <f>IF(G70="","",INDEX(Tasks!$B:$B,MATCH(G70,Tasks!$C:$C,0)))</f>
        <v/>
      </c>
      <c r="G70" s="3" t="str">
        <f>_xlfn.IFNA(INDEX(Tasks!C:C,MATCH("Government"&amp;D70,Tasks!E:E,0)),"")</f>
        <v/>
      </c>
    </row>
    <row r="71" spans="1:7" x14ac:dyDescent="0.2">
      <c r="A71" s="3" t="str">
        <f t="shared" si="4"/>
        <v xml:space="preserve"> </v>
      </c>
      <c r="B71" s="3" t="str">
        <f>IF(C71="","",INDEX(Tasks!$B:$B,MATCH(C71,Tasks!$C:$C,0)))</f>
        <v/>
      </c>
      <c r="C71" s="48" t="str">
        <f>_xlfn.IFNA(INDEX(Tasks!C:C,MATCH("Client"&amp;D71,Tasks!E:E,0)),"")</f>
        <v/>
      </c>
      <c r="D71" s="39">
        <v>70</v>
      </c>
      <c r="E71" s="3" t="str">
        <f t="shared" si="5"/>
        <v xml:space="preserve"> </v>
      </c>
      <c r="F71" s="3" t="str">
        <f>IF(G71="","",INDEX(Tasks!$B:$B,MATCH(G71,Tasks!$C:$C,0)))</f>
        <v/>
      </c>
      <c r="G71" s="3" t="str">
        <f>_xlfn.IFNA(INDEX(Tasks!C:C,MATCH("Government"&amp;D71,Tasks!E:E,0)),"")</f>
        <v/>
      </c>
    </row>
    <row r="72" spans="1:7" x14ac:dyDescent="0.2">
      <c r="A72" s="3" t="str">
        <f t="shared" si="4"/>
        <v xml:space="preserve"> </v>
      </c>
      <c r="B72" s="3" t="str">
        <f>IF(C72="","",INDEX(Tasks!$B:$B,MATCH(C72,Tasks!$C:$C,0)))</f>
        <v/>
      </c>
      <c r="C72" s="48" t="str">
        <f>_xlfn.IFNA(INDEX(Tasks!C:C,MATCH("Client"&amp;D72,Tasks!E:E,0)),"")</f>
        <v/>
      </c>
      <c r="D72" s="39">
        <v>71</v>
      </c>
      <c r="E72" s="3" t="str">
        <f t="shared" si="5"/>
        <v xml:space="preserve"> </v>
      </c>
      <c r="F72" s="3" t="str">
        <f>IF(G72="","",INDEX(Tasks!$B:$B,MATCH(G72,Tasks!$C:$C,0)))</f>
        <v/>
      </c>
      <c r="G72" s="3" t="str">
        <f>_xlfn.IFNA(INDEX(Tasks!C:C,MATCH("Government"&amp;D72,Tasks!E:E,0)),"")</f>
        <v/>
      </c>
    </row>
    <row r="73" spans="1:7" x14ac:dyDescent="0.2">
      <c r="A73" s="3" t="str">
        <f t="shared" si="4"/>
        <v xml:space="preserve"> </v>
      </c>
      <c r="B73" s="3" t="str">
        <f>IF(C73="","",INDEX(Tasks!$B:$B,MATCH(C73,Tasks!$C:$C,0)))</f>
        <v/>
      </c>
      <c r="C73" s="48" t="str">
        <f>_xlfn.IFNA(INDEX(Tasks!C:C,MATCH("Client"&amp;D73,Tasks!E:E,0)),"")</f>
        <v/>
      </c>
      <c r="D73" s="39">
        <v>72</v>
      </c>
      <c r="E73" s="3" t="str">
        <f t="shared" si="5"/>
        <v xml:space="preserve"> </v>
      </c>
      <c r="F73" s="3" t="str">
        <f>IF(G73="","",INDEX(Tasks!$B:$B,MATCH(G73,Tasks!$C:$C,0)))</f>
        <v/>
      </c>
      <c r="G73" s="3" t="str">
        <f>_xlfn.IFNA(INDEX(Tasks!C:C,MATCH("Government"&amp;D73,Tasks!E:E,0)),"")</f>
        <v/>
      </c>
    </row>
    <row r="74" spans="1:7" x14ac:dyDescent="0.2">
      <c r="A74" s="3" t="str">
        <f t="shared" si="4"/>
        <v xml:space="preserve"> </v>
      </c>
      <c r="B74" s="3" t="str">
        <f>IF(C74="","",INDEX(Tasks!$B:$B,MATCH(C74,Tasks!$C:$C,0)))</f>
        <v/>
      </c>
      <c r="C74" s="48" t="str">
        <f>_xlfn.IFNA(INDEX(Tasks!C:C,MATCH("Client"&amp;D74,Tasks!E:E,0)),"")</f>
        <v/>
      </c>
      <c r="D74" s="39">
        <v>73</v>
      </c>
      <c r="E74" s="3" t="str">
        <f t="shared" si="5"/>
        <v xml:space="preserve"> </v>
      </c>
      <c r="F74" s="3" t="str">
        <f>IF(G74="","",INDEX(Tasks!$B:$B,MATCH(G74,Tasks!$C:$C,0)))</f>
        <v/>
      </c>
      <c r="G74" s="3" t="str">
        <f>_xlfn.IFNA(INDEX(Tasks!C:C,MATCH("Government"&amp;D74,Tasks!E:E,0)),"")</f>
        <v/>
      </c>
    </row>
    <row r="75" spans="1:7" x14ac:dyDescent="0.2">
      <c r="A75" s="3" t="str">
        <f t="shared" si="4"/>
        <v xml:space="preserve"> </v>
      </c>
      <c r="B75" s="3" t="str">
        <f>IF(C75="","",INDEX(Tasks!$B:$B,MATCH(C75,Tasks!$C:$C,0)))</f>
        <v/>
      </c>
      <c r="C75" s="48" t="str">
        <f>_xlfn.IFNA(INDEX(Tasks!C:C,MATCH("Client"&amp;D75,Tasks!E:E,0)),"")</f>
        <v/>
      </c>
      <c r="D75" s="39">
        <v>74</v>
      </c>
      <c r="E75" s="3" t="str">
        <f t="shared" si="5"/>
        <v xml:space="preserve"> </v>
      </c>
      <c r="F75" s="3" t="str">
        <f>IF(G75="","",INDEX(Tasks!$B:$B,MATCH(G75,Tasks!$C:$C,0)))</f>
        <v/>
      </c>
      <c r="G75" s="3" t="str">
        <f>_xlfn.IFNA(INDEX(Tasks!C:C,MATCH("Government"&amp;D75,Tasks!E:E,0)),"")</f>
        <v/>
      </c>
    </row>
    <row r="76" spans="1:7" x14ac:dyDescent="0.2">
      <c r="A76" s="3" t="str">
        <f t="shared" si="4"/>
        <v xml:space="preserve"> </v>
      </c>
      <c r="B76" s="3" t="str">
        <f>IF(C76="","",INDEX(Tasks!$B:$B,MATCH(C76,Tasks!$C:$C,0)))</f>
        <v/>
      </c>
      <c r="C76" s="48" t="str">
        <f>_xlfn.IFNA(INDEX(Tasks!C:C,MATCH("Client"&amp;D76,Tasks!E:E,0)),"")</f>
        <v/>
      </c>
      <c r="D76" s="39">
        <v>75</v>
      </c>
      <c r="E76" s="3" t="str">
        <f t="shared" si="5"/>
        <v xml:space="preserve"> </v>
      </c>
      <c r="F76" s="3" t="str">
        <f>IF(G76="","",INDEX(Tasks!$B:$B,MATCH(G76,Tasks!$C:$C,0)))</f>
        <v/>
      </c>
      <c r="G76" s="3" t="str">
        <f>_xlfn.IFNA(INDEX(Tasks!C:C,MATCH("Government"&amp;D76,Tasks!E:E,0)),"")</f>
        <v/>
      </c>
    </row>
    <row r="77" spans="1:7" x14ac:dyDescent="0.2">
      <c r="A77" s="3" t="str">
        <f t="shared" si="4"/>
        <v xml:space="preserve"> </v>
      </c>
      <c r="B77" s="3" t="str">
        <f>IF(C77="","",INDEX(Tasks!$B:$B,MATCH(C77,Tasks!$C:$C,0)))</f>
        <v/>
      </c>
      <c r="C77" s="48" t="str">
        <f>_xlfn.IFNA(INDEX(Tasks!C:C,MATCH("Client"&amp;D77,Tasks!E:E,0)),"")</f>
        <v/>
      </c>
      <c r="D77" s="39">
        <v>76</v>
      </c>
      <c r="E77" s="3" t="str">
        <f t="shared" si="5"/>
        <v xml:space="preserve"> </v>
      </c>
      <c r="F77" s="3" t="str">
        <f>IF(G77="","",INDEX(Tasks!$B:$B,MATCH(G77,Tasks!$C:$C,0)))</f>
        <v/>
      </c>
      <c r="G77" s="3" t="str">
        <f>_xlfn.IFNA(INDEX(Tasks!C:C,MATCH("Government"&amp;D77,Tasks!E:E,0)),"")</f>
        <v/>
      </c>
    </row>
    <row r="78" spans="1:7" x14ac:dyDescent="0.2">
      <c r="A78" s="3" t="str">
        <f t="shared" si="4"/>
        <v xml:space="preserve"> </v>
      </c>
      <c r="B78" s="3" t="str">
        <f>IF(C78="","",INDEX(Tasks!$B:$B,MATCH(C78,Tasks!$C:$C,0)))</f>
        <v/>
      </c>
      <c r="C78" s="48" t="str">
        <f>_xlfn.IFNA(INDEX(Tasks!C:C,MATCH("Client"&amp;D78,Tasks!E:E,0)),"")</f>
        <v/>
      </c>
      <c r="D78" s="39">
        <v>77</v>
      </c>
      <c r="E78" s="3" t="str">
        <f t="shared" si="5"/>
        <v xml:space="preserve"> </v>
      </c>
      <c r="F78" s="3" t="str">
        <f>IF(G78="","",INDEX(Tasks!$B:$B,MATCH(G78,Tasks!$C:$C,0)))</f>
        <v/>
      </c>
      <c r="G78" s="3" t="str">
        <f>_xlfn.IFNA(INDEX(Tasks!C:C,MATCH("Government"&amp;D78,Tasks!E:E,0)),"")</f>
        <v/>
      </c>
    </row>
    <row r="79" spans="1:7" x14ac:dyDescent="0.2">
      <c r="A79" s="3" t="str">
        <f t="shared" si="4"/>
        <v xml:space="preserve"> </v>
      </c>
      <c r="B79" s="3" t="str">
        <f>IF(C79="","",INDEX(Tasks!$B:$B,MATCH(C79,Tasks!$C:$C,0)))</f>
        <v/>
      </c>
      <c r="C79" s="48" t="str">
        <f>_xlfn.IFNA(INDEX(Tasks!C:C,MATCH("Client"&amp;D79,Tasks!E:E,0)),"")</f>
        <v/>
      </c>
      <c r="D79" s="39">
        <v>78</v>
      </c>
      <c r="E79" s="3" t="str">
        <f t="shared" si="5"/>
        <v xml:space="preserve"> </v>
      </c>
      <c r="F79" s="3" t="str">
        <f>IF(G79="","",INDEX(Tasks!$B:$B,MATCH(G79,Tasks!$C:$C,0)))</f>
        <v/>
      </c>
      <c r="G79" s="3" t="str">
        <f>_xlfn.IFNA(INDEX(Tasks!C:C,MATCH("Government"&amp;D79,Tasks!E:E,0)),"")</f>
        <v/>
      </c>
    </row>
    <row r="80" spans="1:7" x14ac:dyDescent="0.2">
      <c r="A80" s="3" t="str">
        <f t="shared" si="4"/>
        <v xml:space="preserve"> </v>
      </c>
      <c r="B80" s="3" t="str">
        <f>IF(C80="","",INDEX(Tasks!$B:$B,MATCH(C80,Tasks!$C:$C,0)))</f>
        <v/>
      </c>
      <c r="C80" s="48" t="str">
        <f>_xlfn.IFNA(INDEX(Tasks!C:C,MATCH("Client"&amp;D80,Tasks!E:E,0)),"")</f>
        <v/>
      </c>
      <c r="D80" s="39">
        <v>79</v>
      </c>
      <c r="E80" s="3" t="str">
        <f t="shared" si="5"/>
        <v xml:space="preserve"> </v>
      </c>
      <c r="F80" s="3" t="str">
        <f>IF(G80="","",INDEX(Tasks!$B:$B,MATCH(G80,Tasks!$C:$C,0)))</f>
        <v/>
      </c>
      <c r="G80" s="3" t="str">
        <f>_xlfn.IFNA(INDEX(Tasks!C:C,MATCH("Government"&amp;D80,Tasks!E:E,0)),"")</f>
        <v/>
      </c>
    </row>
    <row r="81" spans="1:7" x14ac:dyDescent="0.2">
      <c r="A81" s="3" t="str">
        <f t="shared" si="4"/>
        <v xml:space="preserve"> </v>
      </c>
      <c r="B81" s="3" t="str">
        <f>IF(C81="","",INDEX(Tasks!$B:$B,MATCH(C81,Tasks!$C:$C,0)))</f>
        <v/>
      </c>
      <c r="C81" s="48" t="str">
        <f>_xlfn.IFNA(INDEX(Tasks!C:C,MATCH("Client"&amp;D81,Tasks!E:E,0)),"")</f>
        <v/>
      </c>
      <c r="D81" s="39">
        <v>80</v>
      </c>
      <c r="E81" s="3" t="str">
        <f t="shared" si="5"/>
        <v xml:space="preserve"> </v>
      </c>
      <c r="F81" s="3" t="str">
        <f>IF(G81="","",INDEX(Tasks!$B:$B,MATCH(G81,Tasks!$C:$C,0)))</f>
        <v/>
      </c>
      <c r="G81" s="3" t="str">
        <f>_xlfn.IFNA(INDEX(Tasks!C:C,MATCH("Government"&amp;D81,Tasks!E:E,0)),"")</f>
        <v/>
      </c>
    </row>
    <row r="82" spans="1:7" x14ac:dyDescent="0.2">
      <c r="A82" s="3" t="str">
        <f t="shared" si="4"/>
        <v xml:space="preserve"> </v>
      </c>
      <c r="B82" s="3" t="str">
        <f>IF(C82="","",INDEX(Tasks!$B:$B,MATCH(C82,Tasks!$C:$C,0)))</f>
        <v/>
      </c>
      <c r="C82" s="48" t="str">
        <f>_xlfn.IFNA(INDEX(Tasks!C:C,MATCH("Client"&amp;D82,Tasks!E:E,0)),"")</f>
        <v/>
      </c>
      <c r="D82" s="39">
        <v>81</v>
      </c>
      <c r="E82" s="3" t="str">
        <f t="shared" si="5"/>
        <v xml:space="preserve"> </v>
      </c>
      <c r="F82" s="3" t="str">
        <f>IF(G82="","",INDEX(Tasks!$B:$B,MATCH(G82,Tasks!$C:$C,0)))</f>
        <v/>
      </c>
      <c r="G82" s="3" t="str">
        <f>_xlfn.IFNA(INDEX(Tasks!C:C,MATCH("Government"&amp;D82,Tasks!E:E,0)),"")</f>
        <v/>
      </c>
    </row>
    <row r="83" spans="1:7" x14ac:dyDescent="0.2">
      <c r="A83" s="3" t="str">
        <f t="shared" si="4"/>
        <v xml:space="preserve"> </v>
      </c>
      <c r="B83" s="3" t="str">
        <f>IF(C83="","",INDEX(Tasks!$B:$B,MATCH(C83,Tasks!$C:$C,0)))</f>
        <v/>
      </c>
      <c r="C83" s="48" t="str">
        <f>_xlfn.IFNA(INDEX(Tasks!C:C,MATCH("Client"&amp;D83,Tasks!E:E,0)),"")</f>
        <v/>
      </c>
      <c r="D83" s="39">
        <v>82</v>
      </c>
      <c r="E83" s="3" t="str">
        <f t="shared" si="5"/>
        <v xml:space="preserve"> </v>
      </c>
      <c r="F83" s="3" t="str">
        <f>IF(G83="","",INDEX(Tasks!$B:$B,MATCH(G83,Tasks!$C:$C,0)))</f>
        <v/>
      </c>
      <c r="G83" s="3" t="str">
        <f>_xlfn.IFNA(INDEX(Tasks!C:C,MATCH("Government"&amp;D83,Tasks!E:E,0)),"")</f>
        <v/>
      </c>
    </row>
    <row r="84" spans="1:7" x14ac:dyDescent="0.2">
      <c r="A84" s="3" t="str">
        <f t="shared" si="4"/>
        <v xml:space="preserve"> </v>
      </c>
      <c r="B84" s="3" t="str">
        <f>IF(C84="","",INDEX(Tasks!$B:$B,MATCH(C84,Tasks!$C:$C,0)))</f>
        <v/>
      </c>
      <c r="C84" s="48" t="str">
        <f>_xlfn.IFNA(INDEX(Tasks!C:C,MATCH("Client"&amp;D84,Tasks!E:E,0)),"")</f>
        <v/>
      </c>
      <c r="D84" s="39">
        <v>83</v>
      </c>
      <c r="E84" s="3" t="str">
        <f t="shared" si="5"/>
        <v xml:space="preserve"> </v>
      </c>
      <c r="F84" s="3" t="str">
        <f>IF(G84="","",INDEX(Tasks!$B:$B,MATCH(G84,Tasks!$C:$C,0)))</f>
        <v/>
      </c>
      <c r="G84" s="3" t="str">
        <f>_xlfn.IFNA(INDEX(Tasks!C:C,MATCH("Government"&amp;D84,Tasks!E:E,0)),"")</f>
        <v/>
      </c>
    </row>
    <row r="85" spans="1:7" x14ac:dyDescent="0.2">
      <c r="A85" s="3" t="str">
        <f t="shared" si="4"/>
        <v xml:space="preserve"> </v>
      </c>
      <c r="B85" s="3" t="str">
        <f>IF(C85="","",INDEX(Tasks!$B:$B,MATCH(C85,Tasks!$C:$C,0)))</f>
        <v/>
      </c>
      <c r="C85" s="48" t="str">
        <f>_xlfn.IFNA(INDEX(Tasks!C:C,MATCH("Client"&amp;D85,Tasks!E:E,0)),"")</f>
        <v/>
      </c>
      <c r="D85" s="39">
        <v>84</v>
      </c>
      <c r="E85" s="3" t="str">
        <f t="shared" si="5"/>
        <v xml:space="preserve"> </v>
      </c>
      <c r="F85" s="3" t="str">
        <f>IF(G85="","",INDEX(Tasks!$B:$B,MATCH(G85,Tasks!$C:$C,0)))</f>
        <v/>
      </c>
      <c r="G85" s="3" t="str">
        <f>_xlfn.IFNA(INDEX(Tasks!C:C,MATCH("Government"&amp;D85,Tasks!E:E,0)),"")</f>
        <v/>
      </c>
    </row>
    <row r="86" spans="1:7" x14ac:dyDescent="0.2">
      <c r="A86" s="3" t="str">
        <f t="shared" si="4"/>
        <v xml:space="preserve"> </v>
      </c>
      <c r="B86" s="3" t="str">
        <f>IF(C86="","",INDEX(Tasks!$B:$B,MATCH(C86,Tasks!$C:$C,0)))</f>
        <v/>
      </c>
      <c r="C86" s="48" t="str">
        <f>_xlfn.IFNA(INDEX(Tasks!C:C,MATCH("Client"&amp;D86,Tasks!E:E,0)),"")</f>
        <v/>
      </c>
      <c r="D86" s="39">
        <v>85</v>
      </c>
      <c r="E86" s="3" t="str">
        <f t="shared" si="5"/>
        <v xml:space="preserve"> </v>
      </c>
      <c r="F86" s="3" t="str">
        <f>IF(G86="","",INDEX(Tasks!$B:$B,MATCH(G86,Tasks!$C:$C,0)))</f>
        <v/>
      </c>
      <c r="G86" s="3" t="str">
        <f>_xlfn.IFNA(INDEX(Tasks!C:C,MATCH("Government"&amp;D86,Tasks!E:E,0)),"")</f>
        <v/>
      </c>
    </row>
    <row r="87" spans="1:7" x14ac:dyDescent="0.2">
      <c r="A87" s="3" t="str">
        <f t="shared" ref="A87:A100" si="6">B87&amp;" "&amp;C87</f>
        <v xml:space="preserve"> </v>
      </c>
      <c r="B87" s="3" t="str">
        <f>IF(C87="","",INDEX(Tasks!$B:$B,MATCH(C87,Tasks!$C:$C,0)))</f>
        <v/>
      </c>
      <c r="C87" s="48" t="str">
        <f>_xlfn.IFNA(INDEX(Tasks!C:C,MATCH("Client"&amp;D87,Tasks!E:E,0)),"")</f>
        <v/>
      </c>
      <c r="D87" s="39">
        <v>86</v>
      </c>
      <c r="E87" s="3" t="str">
        <f t="shared" si="5"/>
        <v xml:space="preserve"> </v>
      </c>
      <c r="F87" s="3" t="str">
        <f>IF(G87="","",INDEX(Tasks!$B:$B,MATCH(G87,Tasks!$C:$C,0)))</f>
        <v/>
      </c>
      <c r="G87" s="3" t="str">
        <f>_xlfn.IFNA(INDEX(Tasks!C:C,MATCH("Government"&amp;D87,Tasks!E:E,0)),"")</f>
        <v/>
      </c>
    </row>
    <row r="88" spans="1:7" x14ac:dyDescent="0.2">
      <c r="A88" s="3" t="str">
        <f t="shared" si="6"/>
        <v xml:space="preserve"> </v>
      </c>
      <c r="B88" s="3" t="str">
        <f>IF(C88="","",INDEX(Tasks!$B:$B,MATCH(C88,Tasks!$C:$C,0)))</f>
        <v/>
      </c>
      <c r="C88" s="48" t="str">
        <f>_xlfn.IFNA(INDEX(Tasks!C:C,MATCH("Client"&amp;D88,Tasks!E:E,0)),"")</f>
        <v/>
      </c>
      <c r="D88" s="39">
        <v>87</v>
      </c>
      <c r="E88" s="3" t="str">
        <f t="shared" si="5"/>
        <v xml:space="preserve"> </v>
      </c>
      <c r="F88" s="3" t="str">
        <f>IF(G88="","",INDEX(Tasks!$B:$B,MATCH(G88,Tasks!$C:$C,0)))</f>
        <v/>
      </c>
      <c r="G88" s="3" t="str">
        <f>_xlfn.IFNA(INDEX(Tasks!C:C,MATCH("Government"&amp;D88,Tasks!E:E,0)),"")</f>
        <v/>
      </c>
    </row>
    <row r="89" spans="1:7" x14ac:dyDescent="0.2">
      <c r="A89" s="3" t="str">
        <f t="shared" si="6"/>
        <v xml:space="preserve"> </v>
      </c>
      <c r="B89" s="3" t="str">
        <f>IF(C89="","",INDEX(Tasks!$B:$B,MATCH(C89,Tasks!$C:$C,0)))</f>
        <v/>
      </c>
      <c r="C89" s="48" t="str">
        <f>_xlfn.IFNA(INDEX(Tasks!C:C,MATCH("Client"&amp;D89,Tasks!E:E,0)),"")</f>
        <v/>
      </c>
      <c r="D89" s="39">
        <v>88</v>
      </c>
      <c r="E89" s="3" t="str">
        <f t="shared" si="5"/>
        <v xml:space="preserve"> </v>
      </c>
      <c r="F89" s="3" t="str">
        <f>IF(G89="","",INDEX(Tasks!$B:$B,MATCH(G89,Tasks!$C:$C,0)))</f>
        <v/>
      </c>
      <c r="G89" s="3" t="str">
        <f>_xlfn.IFNA(INDEX(Tasks!C:C,MATCH("Government"&amp;D89,Tasks!E:E,0)),"")</f>
        <v/>
      </c>
    </row>
    <row r="90" spans="1:7" x14ac:dyDescent="0.2">
      <c r="A90" s="3" t="str">
        <f t="shared" si="6"/>
        <v xml:space="preserve"> </v>
      </c>
      <c r="B90" s="3" t="str">
        <f>IF(C90="","",INDEX(Tasks!$B:$B,MATCH(C90,Tasks!$C:$C,0)))</f>
        <v/>
      </c>
      <c r="C90" s="48" t="str">
        <f>_xlfn.IFNA(INDEX(Tasks!C:C,MATCH("Client"&amp;D90,Tasks!E:E,0)),"")</f>
        <v/>
      </c>
      <c r="D90" s="39">
        <v>89</v>
      </c>
      <c r="E90" s="3" t="str">
        <f t="shared" si="5"/>
        <v xml:space="preserve"> </v>
      </c>
      <c r="F90" s="3" t="str">
        <f>IF(G90="","",INDEX(Tasks!$B:$B,MATCH(G90,Tasks!$C:$C,0)))</f>
        <v/>
      </c>
      <c r="G90" s="3" t="str">
        <f>_xlfn.IFNA(INDEX(Tasks!C:C,MATCH("Government"&amp;D90,Tasks!E:E,0)),"")</f>
        <v/>
      </c>
    </row>
    <row r="91" spans="1:7" x14ac:dyDescent="0.2">
      <c r="A91" s="3" t="str">
        <f t="shared" si="6"/>
        <v xml:space="preserve"> </v>
      </c>
      <c r="B91" s="3" t="str">
        <f>IF(C91="","",INDEX(Tasks!$B:$B,MATCH(C91,Tasks!$C:$C,0)))</f>
        <v/>
      </c>
      <c r="C91" s="48" t="str">
        <f>_xlfn.IFNA(INDEX(Tasks!C:C,MATCH("Client"&amp;D91,Tasks!E:E,0)),"")</f>
        <v/>
      </c>
      <c r="D91" s="39">
        <v>90</v>
      </c>
      <c r="E91" s="3" t="str">
        <f t="shared" si="5"/>
        <v xml:space="preserve"> </v>
      </c>
      <c r="F91" s="3" t="str">
        <f>IF(G91="","",INDEX(Tasks!$B:$B,MATCH(G91,Tasks!$C:$C,0)))</f>
        <v/>
      </c>
      <c r="G91" s="3" t="str">
        <f>_xlfn.IFNA(INDEX(Tasks!C:C,MATCH("Government"&amp;D91,Tasks!E:E,0)),"")</f>
        <v/>
      </c>
    </row>
    <row r="92" spans="1:7" x14ac:dyDescent="0.2">
      <c r="A92" s="3" t="str">
        <f t="shared" si="6"/>
        <v xml:space="preserve"> </v>
      </c>
      <c r="B92" s="3" t="str">
        <f>IF(C92="","",INDEX(Tasks!$B:$B,MATCH(C92,Tasks!$C:$C,0)))</f>
        <v/>
      </c>
      <c r="C92" s="48" t="str">
        <f>_xlfn.IFNA(INDEX(Tasks!C:C,MATCH("Client"&amp;D92,Tasks!E:E,0)),"")</f>
        <v/>
      </c>
      <c r="D92" s="39">
        <v>91</v>
      </c>
      <c r="E92" s="3" t="str">
        <f t="shared" si="5"/>
        <v xml:space="preserve"> </v>
      </c>
      <c r="F92" s="3" t="str">
        <f>IF(G92="","",INDEX(Tasks!$B:$B,MATCH(G92,Tasks!$C:$C,0)))</f>
        <v/>
      </c>
      <c r="G92" s="3" t="str">
        <f>_xlfn.IFNA(INDEX(Tasks!C:C,MATCH("Government"&amp;D92,Tasks!E:E,0)),"")</f>
        <v/>
      </c>
    </row>
    <row r="93" spans="1:7" x14ac:dyDescent="0.2">
      <c r="A93" s="3" t="str">
        <f t="shared" si="6"/>
        <v xml:space="preserve"> </v>
      </c>
      <c r="B93" s="3" t="str">
        <f>IF(C93="","",INDEX(Tasks!$B:$B,MATCH(C93,Tasks!$C:$C,0)))</f>
        <v/>
      </c>
      <c r="C93" s="48" t="str">
        <f>_xlfn.IFNA(INDEX(Tasks!C:C,MATCH("Client"&amp;D93,Tasks!E:E,0)),"")</f>
        <v/>
      </c>
      <c r="D93" s="39">
        <v>92</v>
      </c>
      <c r="E93" s="3" t="str">
        <f t="shared" si="5"/>
        <v xml:space="preserve"> </v>
      </c>
      <c r="F93" s="3" t="str">
        <f>IF(G93="","",INDEX(Tasks!$B:$B,MATCH(G93,Tasks!$C:$C,0)))</f>
        <v/>
      </c>
      <c r="G93" s="3" t="str">
        <f>_xlfn.IFNA(INDEX(Tasks!C:C,MATCH("Government"&amp;D93,Tasks!E:E,0)),"")</f>
        <v/>
      </c>
    </row>
    <row r="94" spans="1:7" x14ac:dyDescent="0.2">
      <c r="A94" s="3" t="str">
        <f t="shared" si="6"/>
        <v xml:space="preserve"> </v>
      </c>
      <c r="B94" s="3" t="str">
        <f>IF(C94="","",INDEX(Tasks!$B:$B,MATCH(C94,Tasks!$C:$C,0)))</f>
        <v/>
      </c>
      <c r="C94" s="48" t="str">
        <f>_xlfn.IFNA(INDEX(Tasks!C:C,MATCH("Client"&amp;D94,Tasks!E:E,0)),"")</f>
        <v/>
      </c>
      <c r="D94" s="39">
        <v>93</v>
      </c>
      <c r="E94" s="3" t="str">
        <f t="shared" si="5"/>
        <v xml:space="preserve"> </v>
      </c>
      <c r="F94" s="3" t="str">
        <f>IF(G94="","",INDEX(Tasks!$B:$B,MATCH(G94,Tasks!$C:$C,0)))</f>
        <v/>
      </c>
      <c r="G94" s="3" t="str">
        <f>_xlfn.IFNA(INDEX(Tasks!C:C,MATCH("Government"&amp;D94,Tasks!E:E,0)),"")</f>
        <v/>
      </c>
    </row>
    <row r="95" spans="1:7" x14ac:dyDescent="0.2">
      <c r="A95" s="3" t="str">
        <f t="shared" si="6"/>
        <v xml:space="preserve"> </v>
      </c>
      <c r="B95" s="3" t="str">
        <f>IF(C95="","",INDEX(Tasks!$B:$B,MATCH(C95,Tasks!$C:$C,0)))</f>
        <v/>
      </c>
      <c r="C95" s="48" t="str">
        <f>_xlfn.IFNA(INDEX(Tasks!C:C,MATCH("Client"&amp;D95,Tasks!E:E,0)),"")</f>
        <v/>
      </c>
      <c r="D95" s="39">
        <v>94</v>
      </c>
      <c r="E95" s="3" t="str">
        <f t="shared" si="5"/>
        <v xml:space="preserve"> </v>
      </c>
      <c r="F95" s="3" t="str">
        <f>IF(G95="","",INDEX(Tasks!$B:$B,MATCH(G95,Tasks!$C:$C,0)))</f>
        <v/>
      </c>
      <c r="G95" s="3" t="str">
        <f>_xlfn.IFNA(INDEX(Tasks!C:C,MATCH("Government"&amp;D95,Tasks!E:E,0)),"")</f>
        <v/>
      </c>
    </row>
    <row r="96" spans="1:7" x14ac:dyDescent="0.2">
      <c r="A96" s="3" t="str">
        <f t="shared" si="6"/>
        <v xml:space="preserve"> </v>
      </c>
      <c r="B96" s="3" t="str">
        <f>IF(C96="","",INDEX(Tasks!$B:$B,MATCH(C96,Tasks!$C:$C,0)))</f>
        <v/>
      </c>
      <c r="C96" s="48" t="str">
        <f>_xlfn.IFNA(INDEX(Tasks!C:C,MATCH("Client"&amp;D96,Tasks!E:E,0)),"")</f>
        <v/>
      </c>
      <c r="D96" s="39">
        <v>95</v>
      </c>
      <c r="E96" s="3" t="str">
        <f t="shared" si="5"/>
        <v xml:space="preserve"> </v>
      </c>
      <c r="F96" s="3" t="str">
        <f>IF(G96="","",INDEX(Tasks!$B:$B,MATCH(G96,Tasks!$C:$C,0)))</f>
        <v/>
      </c>
      <c r="G96" s="3" t="str">
        <f>_xlfn.IFNA(INDEX(Tasks!C:C,MATCH("Government"&amp;D96,Tasks!E:E,0)),"")</f>
        <v/>
      </c>
    </row>
    <row r="97" spans="1:7" x14ac:dyDescent="0.2">
      <c r="A97" s="3" t="str">
        <f t="shared" si="6"/>
        <v xml:space="preserve"> </v>
      </c>
      <c r="B97" s="3" t="str">
        <f>IF(C97="","",INDEX(Tasks!$B:$B,MATCH(C97,Tasks!$C:$C,0)))</f>
        <v/>
      </c>
      <c r="C97" s="48" t="str">
        <f>_xlfn.IFNA(INDEX(Tasks!C:C,MATCH("Client"&amp;D97,Tasks!E:E,0)),"")</f>
        <v/>
      </c>
      <c r="D97" s="39">
        <v>96</v>
      </c>
      <c r="E97" s="3" t="str">
        <f t="shared" si="5"/>
        <v xml:space="preserve"> </v>
      </c>
      <c r="F97" s="3" t="str">
        <f>IF(G97="","",INDEX(Tasks!$B:$B,MATCH(G97,Tasks!$C:$C,0)))</f>
        <v/>
      </c>
      <c r="G97" s="3" t="str">
        <f>_xlfn.IFNA(INDEX(Tasks!C:C,MATCH("Government"&amp;D97,Tasks!E:E,0)),"")</f>
        <v/>
      </c>
    </row>
    <row r="98" spans="1:7" x14ac:dyDescent="0.2">
      <c r="A98" s="3" t="str">
        <f t="shared" si="6"/>
        <v xml:space="preserve"> </v>
      </c>
      <c r="B98" s="3" t="str">
        <f>IF(C98="","",INDEX(Tasks!$B:$B,MATCH(C98,Tasks!$C:$C,0)))</f>
        <v/>
      </c>
      <c r="C98" s="48" t="str">
        <f>_xlfn.IFNA(INDEX(Tasks!C:C,MATCH("Client"&amp;D98,Tasks!E:E,0)),"")</f>
        <v/>
      </c>
      <c r="D98" s="39">
        <v>97</v>
      </c>
      <c r="E98" s="3" t="str">
        <f t="shared" si="5"/>
        <v xml:space="preserve"> </v>
      </c>
      <c r="F98" s="3" t="str">
        <f>IF(G98="","",INDEX(Tasks!$B:$B,MATCH(G98,Tasks!$C:$C,0)))</f>
        <v/>
      </c>
      <c r="G98" s="3" t="str">
        <f>_xlfn.IFNA(INDEX(Tasks!C:C,MATCH("Government"&amp;D98,Tasks!E:E,0)),"")</f>
        <v/>
      </c>
    </row>
    <row r="99" spans="1:7" x14ac:dyDescent="0.2">
      <c r="A99" s="3" t="str">
        <f t="shared" si="6"/>
        <v xml:space="preserve"> </v>
      </c>
      <c r="B99" s="3" t="str">
        <f>IF(C99="","",INDEX(Tasks!$B:$B,MATCH(C99,Tasks!$C:$C,0)))</f>
        <v/>
      </c>
      <c r="C99" s="48" t="str">
        <f>_xlfn.IFNA(INDEX(Tasks!C:C,MATCH("Client"&amp;D99,Tasks!E:E,0)),"")</f>
        <v/>
      </c>
      <c r="D99" s="39">
        <v>98</v>
      </c>
      <c r="E99" s="3" t="str">
        <f t="shared" si="5"/>
        <v xml:space="preserve"> </v>
      </c>
      <c r="F99" s="3" t="str">
        <f>IF(G99="","",INDEX(Tasks!$B:$B,MATCH(G99,Tasks!$C:$C,0)))</f>
        <v/>
      </c>
      <c r="G99" s="3" t="str">
        <f>_xlfn.IFNA(INDEX(Tasks!C:C,MATCH("Government"&amp;D99,Tasks!E:E,0)),"")</f>
        <v/>
      </c>
    </row>
    <row r="100" spans="1:7" x14ac:dyDescent="0.2">
      <c r="A100" s="3" t="str">
        <f t="shared" si="6"/>
        <v xml:space="preserve"> </v>
      </c>
      <c r="B100" s="3" t="str">
        <f>IF(C100="","",INDEX(Tasks!$B:$B,MATCH(C100,Tasks!$C:$C,0)))</f>
        <v/>
      </c>
      <c r="C100" s="48" t="str">
        <f>_xlfn.IFNA(INDEX(Tasks!C:C,MATCH("Client"&amp;D100,Tasks!E:E,0)),"")</f>
        <v/>
      </c>
      <c r="D100" s="39">
        <v>99</v>
      </c>
      <c r="E100" s="3" t="str">
        <f t="shared" si="5"/>
        <v xml:space="preserve"> </v>
      </c>
      <c r="F100" s="3" t="str">
        <f>IF(G100="","",INDEX(Tasks!$B:$B,MATCH(G100,Tasks!$C:$C,0)))</f>
        <v/>
      </c>
      <c r="G100" s="3" t="str">
        <f>_xlfn.IFNA(INDEX(Tasks!C:C,MATCH("Government"&amp;D100,Tasks!E:E,0)),"")</f>
        <v/>
      </c>
    </row>
  </sheetData>
  <sheetProtection algorithmName="SHA-512" hashValue="iwW05khRi9NkwWvOGCrZh6EBCnNQgWKGBDuf/zOWX64WC2yKcQmJO42yA4sKdkxAye7+BzEltmXFDzQ9vsRbCg==" saltValue="EQm/8ipM3YCTyQqvngNA8g==" spinCount="100000" sheet="1" objects="1" scenarios="1" formatCells="0" formatRows="0" insertRows="0"/>
  <dataValidations count="1">
    <dataValidation allowBlank="1" showInputMessage="1" showErrorMessage="1" sqref="G2:G100 C2:C100" xr:uid="{1CFCCD36-74A4-4CD3-94F5-F2521506A360}"/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AAD9-5BFA-4C96-8A5D-3C35CAE075EB}">
  <sheetPr codeName="Sheet4"/>
  <dimension ref="A1:K108"/>
  <sheetViews>
    <sheetView showFormulas="1" topLeftCell="B15" zoomScaleNormal="100" workbookViewId="0">
      <selection activeCell="C1" sqref="C1"/>
    </sheetView>
  </sheetViews>
  <sheetFormatPr defaultColWidth="9.125" defaultRowHeight="14.25" x14ac:dyDescent="0.2"/>
  <cols>
    <col min="1" max="1" width="8.875" style="3" hidden="1" customWidth="1"/>
    <col min="2" max="2" width="9.125" style="3" bestFit="1" customWidth="1"/>
    <col min="3" max="3" width="23.875" style="3" bestFit="1" customWidth="1"/>
    <col min="4" max="4" width="17.625" style="17" customWidth="1"/>
    <col min="5" max="5" width="18" style="17" hidden="1" customWidth="1"/>
    <col min="6" max="6" width="27.875" style="3" bestFit="1" customWidth="1"/>
    <col min="7" max="7" width="16.875" style="3" customWidth="1"/>
    <col min="8" max="8" width="0" style="3" hidden="1" customWidth="1"/>
    <col min="9" max="9" width="9.125" style="3" bestFit="1" customWidth="1"/>
    <col min="10" max="10" width="23" style="3" hidden="1" customWidth="1"/>
    <col min="11" max="11" width="27.875" style="3" hidden="1" customWidth="1"/>
    <col min="12" max="12" width="9.125" style="3" bestFit="1" customWidth="1"/>
    <col min="13" max="16384" width="9.125" style="3"/>
  </cols>
  <sheetData>
    <row r="1" spans="1:11" ht="30" customHeight="1" x14ac:dyDescent="0.2">
      <c r="B1" s="58"/>
      <c r="C1" s="58"/>
      <c r="D1" s="180" t="s">
        <v>194</v>
      </c>
      <c r="E1" s="180"/>
      <c r="F1" s="44" t="s">
        <v>1</v>
      </c>
      <c r="G1" s="45"/>
    </row>
    <row r="2" spans="1:11" x14ac:dyDescent="0.2">
      <c r="D2" s="3"/>
      <c r="E2" s="3"/>
    </row>
    <row r="3" spans="1:11" s="5" customFormat="1" ht="30" x14ac:dyDescent="0.2">
      <c r="B3" s="10" t="s">
        <v>12</v>
      </c>
      <c r="C3" s="11" t="s">
        <v>195</v>
      </c>
      <c r="D3" s="11" t="s">
        <v>3</v>
      </c>
      <c r="E3" s="11" t="s">
        <v>196</v>
      </c>
      <c r="F3" s="11" t="s">
        <v>197</v>
      </c>
      <c r="G3" s="11" t="s">
        <v>4</v>
      </c>
    </row>
    <row r="4" spans="1:11" x14ac:dyDescent="0.2">
      <c r="A4" s="3" t="str">
        <f t="shared" ref="A4:A9" si="0">B4&amp;" "&amp;D4</f>
        <v xml:space="preserve">Design </v>
      </c>
      <c r="B4" s="12" t="s">
        <v>24</v>
      </c>
      <c r="C4" s="22" t="s">
        <v>198</v>
      </c>
      <c r="D4" s="13"/>
      <c r="E4" s="18">
        <v>27792.61</v>
      </c>
      <c r="F4" s="22"/>
      <c r="G4" s="22" t="s">
        <v>18</v>
      </c>
      <c r="H4" s="3" t="str">
        <f>B4&amp;" "&amp;C4</f>
        <v>Design Ahmed AL-Attas</v>
      </c>
      <c r="I4" s="5"/>
      <c r="J4" s="3" t="s">
        <v>199</v>
      </c>
      <c r="K4" s="20" t="s">
        <v>200</v>
      </c>
    </row>
    <row r="5" spans="1:11" x14ac:dyDescent="0.2">
      <c r="A5" s="3" t="str">
        <f t="shared" si="0"/>
        <v>Design Head Dep</v>
      </c>
      <c r="B5" s="12" t="s">
        <v>24</v>
      </c>
      <c r="C5" s="22" t="s">
        <v>201</v>
      </c>
      <c r="D5" s="13" t="s">
        <v>17</v>
      </c>
      <c r="E5" s="18">
        <v>41317.050000000003</v>
      </c>
      <c r="F5" s="22"/>
      <c r="G5" s="22" t="s">
        <v>18</v>
      </c>
      <c r="H5" s="3" t="str">
        <f t="shared" ref="H5:H68" si="1">B5&amp;" "&amp;C5</f>
        <v>Design Younes Al-Ammar</v>
      </c>
      <c r="I5" s="5"/>
      <c r="J5" s="3" t="s">
        <v>202</v>
      </c>
      <c r="K5" s="20" t="s">
        <v>203</v>
      </c>
    </row>
    <row r="6" spans="1:11" x14ac:dyDescent="0.2">
      <c r="A6" s="3" t="str">
        <f t="shared" si="0"/>
        <v xml:space="preserve">Design </v>
      </c>
      <c r="B6" s="12" t="s">
        <v>24</v>
      </c>
      <c r="C6" s="22" t="s">
        <v>204</v>
      </c>
      <c r="D6" s="13"/>
      <c r="E6" s="18">
        <v>28768.400000000001</v>
      </c>
      <c r="F6" s="22"/>
      <c r="G6" s="22" t="s">
        <v>18</v>
      </c>
      <c r="H6" s="3" t="str">
        <f t="shared" si="1"/>
        <v>Design Abdulaziz Alsaqqaf</v>
      </c>
      <c r="I6" s="5"/>
      <c r="J6" s="3" t="s">
        <v>205</v>
      </c>
      <c r="K6" s="3" t="s">
        <v>206</v>
      </c>
    </row>
    <row r="7" spans="1:11" x14ac:dyDescent="0.2">
      <c r="A7" s="3" t="str">
        <f t="shared" si="0"/>
        <v xml:space="preserve">Design </v>
      </c>
      <c r="B7" s="12" t="s">
        <v>24</v>
      </c>
      <c r="C7" s="22" t="s">
        <v>116</v>
      </c>
      <c r="D7" s="13"/>
      <c r="E7" s="18">
        <v>34055.379999999997</v>
      </c>
      <c r="F7" s="22"/>
      <c r="G7" s="22" t="s">
        <v>18</v>
      </c>
      <c r="H7" s="3" t="str">
        <f t="shared" si="1"/>
        <v>Design Ghadeer AlAmoudi</v>
      </c>
      <c r="I7" s="5"/>
      <c r="J7" s="3" t="s">
        <v>207</v>
      </c>
      <c r="K7" s="3" t="s">
        <v>208</v>
      </c>
    </row>
    <row r="8" spans="1:11" x14ac:dyDescent="0.2">
      <c r="A8" s="3" t="str">
        <f t="shared" si="0"/>
        <v xml:space="preserve">Design </v>
      </c>
      <c r="B8" s="12" t="s">
        <v>24</v>
      </c>
      <c r="C8" s="22" t="s">
        <v>109</v>
      </c>
      <c r="D8" s="13"/>
      <c r="E8" s="18">
        <v>34415.769999999997</v>
      </c>
      <c r="F8" s="22"/>
      <c r="G8" s="22" t="s">
        <v>18</v>
      </c>
      <c r="H8" s="3" t="str">
        <f t="shared" si="1"/>
        <v>Design Riyadh Almaghrabi</v>
      </c>
      <c r="I8" s="5"/>
      <c r="J8" s="3" t="s">
        <v>209</v>
      </c>
      <c r="K8" s="21" t="s">
        <v>210</v>
      </c>
    </row>
    <row r="9" spans="1:11" x14ac:dyDescent="0.2">
      <c r="A9" s="3" t="str">
        <f t="shared" si="0"/>
        <v xml:space="preserve">Design </v>
      </c>
      <c r="B9" s="12" t="s">
        <v>24</v>
      </c>
      <c r="C9" s="22" t="s">
        <v>211</v>
      </c>
      <c r="D9" s="13"/>
      <c r="E9" s="18">
        <v>25938.91</v>
      </c>
      <c r="F9" s="22"/>
      <c r="G9" s="22" t="s">
        <v>18</v>
      </c>
      <c r="H9" s="3" t="str">
        <f t="shared" si="1"/>
        <v>Design Rakan  Arrabea</v>
      </c>
      <c r="I9" s="5"/>
      <c r="J9" s="3" t="s">
        <v>212</v>
      </c>
      <c r="K9" s="3" t="s">
        <v>213</v>
      </c>
    </row>
    <row r="10" spans="1:11" x14ac:dyDescent="0.2">
      <c r="B10" s="12" t="s">
        <v>24</v>
      </c>
      <c r="C10" s="22" t="s">
        <v>214</v>
      </c>
      <c r="D10" s="13"/>
      <c r="E10" s="18">
        <v>26243.78</v>
      </c>
      <c r="F10" s="22"/>
      <c r="G10" s="22" t="s">
        <v>18</v>
      </c>
      <c r="H10" s="3" t="str">
        <f t="shared" si="1"/>
        <v>Design Aljawharah Aldahmash</v>
      </c>
      <c r="I10" s="5"/>
      <c r="J10" s="3" t="s">
        <v>215</v>
      </c>
      <c r="K10" s="3" t="s">
        <v>216</v>
      </c>
    </row>
    <row r="11" spans="1:11" x14ac:dyDescent="0.2">
      <c r="B11" s="12" t="s">
        <v>24</v>
      </c>
      <c r="C11" s="22" t="s">
        <v>217</v>
      </c>
      <c r="D11" s="13"/>
      <c r="E11" s="18">
        <v>6615.93</v>
      </c>
      <c r="F11" s="22"/>
      <c r="G11" s="22" t="s">
        <v>18</v>
      </c>
      <c r="H11" s="3" t="str">
        <f t="shared" si="1"/>
        <v>Design Majed Al-Shadokhi</v>
      </c>
      <c r="I11" s="5"/>
      <c r="J11" s="3" t="s">
        <v>218</v>
      </c>
      <c r="K11" s="3" t="s">
        <v>219</v>
      </c>
    </row>
    <row r="12" spans="1:11" x14ac:dyDescent="0.2">
      <c r="A12" s="3" t="str">
        <f t="shared" ref="A12:A19" si="2">B12&amp;" "&amp;D12</f>
        <v xml:space="preserve">Design </v>
      </c>
      <c r="B12" s="12" t="s">
        <v>24</v>
      </c>
      <c r="C12" s="22" t="s">
        <v>220</v>
      </c>
      <c r="D12" s="13"/>
      <c r="E12" s="18">
        <v>20381.080000000002</v>
      </c>
      <c r="F12" s="22"/>
      <c r="G12" s="22" t="s">
        <v>18</v>
      </c>
      <c r="H12" s="3" t="str">
        <f t="shared" si="1"/>
        <v>Design Mohamed shaldoum</v>
      </c>
      <c r="I12" s="5"/>
      <c r="J12" s="3" t="s">
        <v>221</v>
      </c>
      <c r="K12" s="3" t="s">
        <v>222</v>
      </c>
    </row>
    <row r="13" spans="1:11" x14ac:dyDescent="0.2">
      <c r="A13" s="3" t="str">
        <f t="shared" si="2"/>
        <v xml:space="preserve">Design </v>
      </c>
      <c r="B13" s="12" t="s">
        <v>24</v>
      </c>
      <c r="C13" s="22" t="s">
        <v>223</v>
      </c>
      <c r="D13" s="13"/>
      <c r="E13" s="18">
        <v>31760.09</v>
      </c>
      <c r="F13" s="22"/>
      <c r="G13" s="22" t="s">
        <v>18</v>
      </c>
      <c r="H13" s="3" t="str">
        <f t="shared" si="1"/>
        <v>Design ahmed sharara</v>
      </c>
      <c r="I13" s="5"/>
      <c r="J13" s="3" t="s">
        <v>224</v>
      </c>
      <c r="K13" s="3" t="s">
        <v>225</v>
      </c>
    </row>
    <row r="14" spans="1:11" x14ac:dyDescent="0.2">
      <c r="A14" s="3" t="str">
        <f t="shared" si="2"/>
        <v xml:space="preserve">Design </v>
      </c>
      <c r="B14" s="12" t="s">
        <v>24</v>
      </c>
      <c r="C14" s="22" t="s">
        <v>226</v>
      </c>
      <c r="D14" s="13"/>
      <c r="E14" s="18">
        <v>24424.21</v>
      </c>
      <c r="F14" s="22"/>
      <c r="G14" s="22" t="s">
        <v>18</v>
      </c>
      <c r="H14" s="3" t="str">
        <f t="shared" si="1"/>
        <v>Design Bader  Alribi</v>
      </c>
      <c r="I14" s="5"/>
      <c r="J14" s="3" t="s">
        <v>227</v>
      </c>
      <c r="K14" s="3" t="s">
        <v>228</v>
      </c>
    </row>
    <row r="15" spans="1:11" x14ac:dyDescent="0.2">
      <c r="A15" s="3" t="str">
        <f t="shared" si="2"/>
        <v xml:space="preserve">Design </v>
      </c>
      <c r="B15" s="12" t="s">
        <v>24</v>
      </c>
      <c r="C15" s="22" t="s">
        <v>229</v>
      </c>
      <c r="D15" s="13"/>
      <c r="E15" s="18">
        <v>17278.61</v>
      </c>
      <c r="F15" s="22"/>
      <c r="G15" s="22" t="s">
        <v>18</v>
      </c>
      <c r="H15" s="3" t="str">
        <f t="shared" si="1"/>
        <v>Design Ummer Abdulmajeed</v>
      </c>
      <c r="I15" s="5"/>
      <c r="J15" s="3" t="s">
        <v>230</v>
      </c>
      <c r="K15" s="3" t="s">
        <v>231</v>
      </c>
    </row>
    <row r="16" spans="1:11" x14ac:dyDescent="0.2">
      <c r="A16" s="3" t="str">
        <f t="shared" si="2"/>
        <v xml:space="preserve">Design </v>
      </c>
      <c r="B16" s="12" t="s">
        <v>24</v>
      </c>
      <c r="C16" s="22" t="s">
        <v>232</v>
      </c>
      <c r="D16" s="13"/>
      <c r="E16" s="18">
        <v>15961.33</v>
      </c>
      <c r="F16" s="22"/>
      <c r="G16" s="22" t="s">
        <v>18</v>
      </c>
      <c r="H16" s="3" t="str">
        <f t="shared" si="1"/>
        <v>Design Muath Jumayah</v>
      </c>
      <c r="I16" s="5"/>
      <c r="J16" s="3" t="s">
        <v>233</v>
      </c>
      <c r="K16" s="3" t="s">
        <v>234</v>
      </c>
    </row>
    <row r="17" spans="1:11" x14ac:dyDescent="0.2">
      <c r="A17" s="3" t="str">
        <f t="shared" si="2"/>
        <v xml:space="preserve">Design </v>
      </c>
      <c r="B17" s="12" t="s">
        <v>24</v>
      </c>
      <c r="C17" s="22" t="s">
        <v>235</v>
      </c>
      <c r="D17" s="13"/>
      <c r="E17" s="18">
        <v>16742.400000000001</v>
      </c>
      <c r="F17" s="22"/>
      <c r="G17" s="22" t="s">
        <v>18</v>
      </c>
      <c r="H17" s="3" t="str">
        <f t="shared" si="1"/>
        <v>Design Basem  Osman</v>
      </c>
      <c r="I17" s="5"/>
      <c r="J17" s="3" t="s">
        <v>236</v>
      </c>
      <c r="K17" s="21" t="s">
        <v>237</v>
      </c>
    </row>
    <row r="18" spans="1:11" x14ac:dyDescent="0.2">
      <c r="A18" s="3" t="str">
        <f t="shared" si="2"/>
        <v xml:space="preserve">Design </v>
      </c>
      <c r="B18" s="12" t="s">
        <v>24</v>
      </c>
      <c r="C18" s="22" t="s">
        <v>238</v>
      </c>
      <c r="D18" s="13"/>
      <c r="E18" s="18">
        <v>13712.58</v>
      </c>
      <c r="F18" s="22"/>
      <c r="G18" s="22" t="s">
        <v>18</v>
      </c>
      <c r="H18" s="3" t="str">
        <f t="shared" si="1"/>
        <v>Design Abdullah  Alrahmah</v>
      </c>
      <c r="I18" s="5"/>
      <c r="J18" s="3" t="s">
        <v>239</v>
      </c>
      <c r="K18" s="3" t="s">
        <v>240</v>
      </c>
    </row>
    <row r="19" spans="1:11" x14ac:dyDescent="0.2">
      <c r="A19" s="3" t="str">
        <f t="shared" si="2"/>
        <v xml:space="preserve">Design </v>
      </c>
      <c r="B19" s="12" t="s">
        <v>24</v>
      </c>
      <c r="C19" s="22" t="s">
        <v>241</v>
      </c>
      <c r="D19" s="13"/>
      <c r="E19" s="18">
        <v>9386.74</v>
      </c>
      <c r="F19" s="22"/>
      <c r="G19" s="22" t="s">
        <v>18</v>
      </c>
      <c r="H19" s="3" t="str">
        <f t="shared" si="1"/>
        <v>Design Nouf shahbal</v>
      </c>
      <c r="I19" s="5"/>
    </row>
    <row r="20" spans="1:11" x14ac:dyDescent="0.2">
      <c r="B20" s="12" t="s">
        <v>24</v>
      </c>
      <c r="C20" s="22" t="s">
        <v>242</v>
      </c>
      <c r="D20" s="13"/>
      <c r="E20" s="18">
        <v>4469.99</v>
      </c>
      <c r="F20" s="22"/>
      <c r="G20" s="22" t="s">
        <v>18</v>
      </c>
      <c r="H20" s="3" t="str">
        <f t="shared" si="1"/>
        <v>Design Nawaf Al Turaif</v>
      </c>
      <c r="I20" s="5"/>
      <c r="J20" s="3" t="s">
        <v>243</v>
      </c>
      <c r="K20" s="21" t="s">
        <v>244</v>
      </c>
    </row>
    <row r="21" spans="1:11" x14ac:dyDescent="0.2">
      <c r="A21" s="3" t="str">
        <f>B21&amp;" "&amp;D21</f>
        <v xml:space="preserve">Studies </v>
      </c>
      <c r="B21" s="12" t="s">
        <v>16</v>
      </c>
      <c r="C21" s="15" t="s">
        <v>245</v>
      </c>
      <c r="D21" s="16"/>
      <c r="E21" s="18">
        <v>26427.72</v>
      </c>
      <c r="F21" s="15"/>
      <c r="G21" s="22" t="s">
        <v>18</v>
      </c>
      <c r="H21" s="3" t="str">
        <f t="shared" si="1"/>
        <v>Studies Salman Mulhim</v>
      </c>
      <c r="I21" s="5"/>
      <c r="K21" s="21"/>
    </row>
    <row r="22" spans="1:11" x14ac:dyDescent="0.2">
      <c r="A22" s="3" t="str">
        <f>B22&amp;" "&amp;D22</f>
        <v>Studies Head Dep</v>
      </c>
      <c r="B22" s="12" t="s">
        <v>16</v>
      </c>
      <c r="C22" s="15" t="s">
        <v>246</v>
      </c>
      <c r="D22" s="13" t="s">
        <v>17</v>
      </c>
      <c r="E22" s="18">
        <v>31573.65</v>
      </c>
      <c r="F22" s="15"/>
      <c r="G22" s="22" t="s">
        <v>18</v>
      </c>
      <c r="H22" s="3" t="str">
        <f t="shared" si="1"/>
        <v>Studies Abdulrahman Bukees</v>
      </c>
      <c r="I22" s="5"/>
      <c r="K22" s="21"/>
    </row>
    <row r="23" spans="1:11" x14ac:dyDescent="0.2">
      <c r="A23" s="3" t="str">
        <f>B23&amp;" "&amp;D23</f>
        <v xml:space="preserve">Studies </v>
      </c>
      <c r="B23" s="12" t="s">
        <v>16</v>
      </c>
      <c r="C23" s="15" t="s">
        <v>247</v>
      </c>
      <c r="D23" s="16"/>
      <c r="E23" s="18">
        <v>24207.31</v>
      </c>
      <c r="F23" s="15"/>
      <c r="G23" s="22" t="s">
        <v>18</v>
      </c>
      <c r="H23" s="3" t="str">
        <f t="shared" si="1"/>
        <v>Studies Omar  Nada</v>
      </c>
      <c r="I23" s="5"/>
      <c r="K23" s="21"/>
    </row>
    <row r="24" spans="1:11" x14ac:dyDescent="0.2">
      <c r="B24" s="12" t="s">
        <v>16</v>
      </c>
      <c r="C24" s="22" t="s">
        <v>248</v>
      </c>
      <c r="D24" s="13"/>
      <c r="E24" s="18">
        <v>11268.92</v>
      </c>
      <c r="F24" s="22"/>
      <c r="G24" s="22" t="s">
        <v>18</v>
      </c>
      <c r="H24" s="3" t="str">
        <f t="shared" si="1"/>
        <v>Studies Ahmed Mahmoud</v>
      </c>
      <c r="I24" s="5"/>
      <c r="J24" s="3" t="s">
        <v>249</v>
      </c>
      <c r="K24" s="21" t="s">
        <v>250</v>
      </c>
    </row>
    <row r="25" spans="1:11" x14ac:dyDescent="0.2">
      <c r="A25" s="3" t="str">
        <f t="shared" ref="A25:A33" si="3">B25&amp;" "&amp;D25</f>
        <v xml:space="preserve">Studies </v>
      </c>
      <c r="B25" s="12" t="s">
        <v>16</v>
      </c>
      <c r="C25" s="22" t="s">
        <v>251</v>
      </c>
      <c r="D25" s="13"/>
      <c r="E25" s="18">
        <v>11280.2</v>
      </c>
      <c r="F25" s="22"/>
      <c r="G25" s="22" t="s">
        <v>18</v>
      </c>
      <c r="H25" s="3" t="str">
        <f t="shared" si="1"/>
        <v>Studies Satam Bahtab</v>
      </c>
      <c r="I25" s="5"/>
      <c r="J25" s="3" t="s">
        <v>252</v>
      </c>
      <c r="K25" s="3" t="s">
        <v>253</v>
      </c>
    </row>
    <row r="26" spans="1:11" x14ac:dyDescent="0.2">
      <c r="A26" s="3" t="str">
        <f t="shared" si="3"/>
        <v xml:space="preserve">Studies </v>
      </c>
      <c r="B26" s="12" t="s">
        <v>16</v>
      </c>
      <c r="C26" s="22" t="s">
        <v>254</v>
      </c>
      <c r="D26" s="13"/>
      <c r="E26" s="18">
        <v>14846.36</v>
      </c>
      <c r="F26" s="22"/>
      <c r="G26" s="22" t="s">
        <v>18</v>
      </c>
      <c r="H26" s="3" t="str">
        <f t="shared" si="1"/>
        <v>Studies Muhammad Alsharabi</v>
      </c>
      <c r="I26" s="5"/>
      <c r="J26" s="3" t="s">
        <v>255</v>
      </c>
      <c r="K26" s="3" t="s">
        <v>256</v>
      </c>
    </row>
    <row r="27" spans="1:11" x14ac:dyDescent="0.2">
      <c r="A27" s="3" t="str">
        <f t="shared" si="3"/>
        <v>Technical Head Dep</v>
      </c>
      <c r="B27" s="12" t="s">
        <v>32</v>
      </c>
      <c r="C27" s="22" t="s">
        <v>257</v>
      </c>
      <c r="D27" s="13" t="s">
        <v>17</v>
      </c>
      <c r="E27" s="18">
        <v>39495.370000000003</v>
      </c>
      <c r="F27" s="22"/>
      <c r="G27" s="22" t="s">
        <v>18</v>
      </c>
      <c r="H27" s="3" t="str">
        <f t="shared" si="1"/>
        <v>Technical Abdulmahsen Madhi</v>
      </c>
      <c r="I27" s="5"/>
      <c r="J27" s="3" t="s">
        <v>258</v>
      </c>
      <c r="K27" s="21" t="s">
        <v>259</v>
      </c>
    </row>
    <row r="28" spans="1:11" x14ac:dyDescent="0.2">
      <c r="A28" s="3" t="str">
        <f t="shared" si="3"/>
        <v xml:space="preserve">Technical </v>
      </c>
      <c r="B28" s="12" t="s">
        <v>32</v>
      </c>
      <c r="C28" s="22" t="s">
        <v>260</v>
      </c>
      <c r="D28" s="13"/>
      <c r="E28" s="18">
        <v>26464.02</v>
      </c>
      <c r="F28" s="22"/>
      <c r="G28" s="22" t="s">
        <v>18</v>
      </c>
      <c r="H28" s="3" t="str">
        <f t="shared" si="1"/>
        <v>Technical Jayson Bautista</v>
      </c>
      <c r="I28" s="5"/>
      <c r="J28" s="3" t="s">
        <v>261</v>
      </c>
      <c r="K28" s="3" t="s">
        <v>262</v>
      </c>
    </row>
    <row r="29" spans="1:11" x14ac:dyDescent="0.2">
      <c r="A29" s="3" t="str">
        <f t="shared" si="3"/>
        <v xml:space="preserve">Technical </v>
      </c>
      <c r="B29" s="12" t="s">
        <v>32</v>
      </c>
      <c r="C29" s="22" t="s">
        <v>263</v>
      </c>
      <c r="D29" s="13"/>
      <c r="E29" s="18">
        <v>27163.99</v>
      </c>
      <c r="F29" s="22"/>
      <c r="G29" s="22" t="s">
        <v>18</v>
      </c>
      <c r="H29" s="3" t="str">
        <f t="shared" si="1"/>
        <v>Technical Mohammed Al-Attar</v>
      </c>
      <c r="I29" s="5"/>
      <c r="J29" s="3" t="s">
        <v>264</v>
      </c>
      <c r="K29" s="3" t="s">
        <v>265</v>
      </c>
    </row>
    <row r="30" spans="1:11" x14ac:dyDescent="0.2">
      <c r="A30" s="3" t="str">
        <f t="shared" si="3"/>
        <v xml:space="preserve">Technical </v>
      </c>
      <c r="B30" s="12" t="s">
        <v>32</v>
      </c>
      <c r="C30" s="22" t="s">
        <v>266</v>
      </c>
      <c r="D30" s="13"/>
      <c r="E30" s="18">
        <v>30473.57</v>
      </c>
      <c r="F30" s="22"/>
      <c r="G30" s="22" t="s">
        <v>18</v>
      </c>
      <c r="H30" s="3" t="str">
        <f t="shared" si="1"/>
        <v>Technical Odai Souliman</v>
      </c>
      <c r="I30" s="5"/>
      <c r="J30" s="3" t="s">
        <v>267</v>
      </c>
      <c r="K30" s="3" t="s">
        <v>268</v>
      </c>
    </row>
    <row r="31" spans="1:11" x14ac:dyDescent="0.2">
      <c r="A31" s="3" t="str">
        <f t="shared" si="3"/>
        <v xml:space="preserve">Technical </v>
      </c>
      <c r="B31" s="12" t="s">
        <v>32</v>
      </c>
      <c r="C31" s="22" t="s">
        <v>269</v>
      </c>
      <c r="D31" s="13"/>
      <c r="E31" s="18">
        <v>24338.07</v>
      </c>
      <c r="F31" s="22"/>
      <c r="G31" s="22" t="s">
        <v>18</v>
      </c>
      <c r="H31" s="3" t="str">
        <f t="shared" si="1"/>
        <v>Technical Omar Darrar</v>
      </c>
      <c r="I31" s="5"/>
    </row>
    <row r="32" spans="1:11" x14ac:dyDescent="0.2">
      <c r="A32" s="3" t="str">
        <f t="shared" si="3"/>
        <v xml:space="preserve">Technical </v>
      </c>
      <c r="B32" s="12" t="s">
        <v>32</v>
      </c>
      <c r="C32" s="22" t="s">
        <v>270</v>
      </c>
      <c r="D32" s="13"/>
      <c r="E32" s="18">
        <v>23556.06</v>
      </c>
      <c r="F32" s="22"/>
      <c r="G32" s="22" t="s">
        <v>18</v>
      </c>
      <c r="H32" s="3" t="str">
        <f t="shared" si="1"/>
        <v>Technical Aamir Ahmad</v>
      </c>
      <c r="I32" s="5"/>
    </row>
    <row r="33" spans="1:8" x14ac:dyDescent="0.2">
      <c r="A33" s="3" t="str">
        <f t="shared" si="3"/>
        <v xml:space="preserve">Technical </v>
      </c>
      <c r="B33" s="12" t="s">
        <v>32</v>
      </c>
      <c r="C33" s="22" t="s">
        <v>271</v>
      </c>
      <c r="D33" s="13"/>
      <c r="E33" s="18">
        <v>32079.96</v>
      </c>
      <c r="F33" s="22"/>
      <c r="G33" s="22" t="s">
        <v>18</v>
      </c>
      <c r="H33" s="3" t="str">
        <f t="shared" si="1"/>
        <v>Technical Islam Abdelati</v>
      </c>
    </row>
    <row r="34" spans="1:8" x14ac:dyDescent="0.2">
      <c r="B34" s="12" t="s">
        <v>32</v>
      </c>
      <c r="C34" s="22" t="s">
        <v>272</v>
      </c>
      <c r="D34" s="13"/>
      <c r="E34" s="18">
        <v>16940.3</v>
      </c>
      <c r="F34" s="22"/>
      <c r="G34" s="22" t="s">
        <v>18</v>
      </c>
      <c r="H34" s="3" t="str">
        <f t="shared" si="1"/>
        <v>Technical Muna Mubarak</v>
      </c>
    </row>
    <row r="35" spans="1:8" x14ac:dyDescent="0.2">
      <c r="A35" s="3" t="str">
        <f>B35&amp;" "&amp;D35</f>
        <v xml:space="preserve">Technical </v>
      </c>
      <c r="B35" s="12" t="s">
        <v>32</v>
      </c>
      <c r="C35" s="22" t="s">
        <v>273</v>
      </c>
      <c r="D35" s="13"/>
      <c r="E35" s="18">
        <v>31412.61</v>
      </c>
      <c r="F35" s="22"/>
      <c r="G35" s="22" t="s">
        <v>18</v>
      </c>
      <c r="H35" s="3" t="str">
        <f t="shared" si="1"/>
        <v>Technical Abdulrahman  Mohammed</v>
      </c>
    </row>
    <row r="36" spans="1:8" x14ac:dyDescent="0.2">
      <c r="A36" s="3" t="str">
        <f>B36&amp;" "&amp;D36</f>
        <v xml:space="preserve">Technical </v>
      </c>
      <c r="B36" s="12" t="s">
        <v>32</v>
      </c>
      <c r="C36" s="22" t="s">
        <v>274</v>
      </c>
      <c r="D36" s="13"/>
      <c r="E36" s="18">
        <v>39497.47</v>
      </c>
      <c r="F36" s="23"/>
      <c r="G36" s="22" t="s">
        <v>18</v>
      </c>
      <c r="H36" s="3" t="str">
        <f t="shared" si="1"/>
        <v>Technical Ahmed Marrwa Marrwa</v>
      </c>
    </row>
    <row r="37" spans="1:8" x14ac:dyDescent="0.2">
      <c r="A37" s="3" t="str">
        <f>B37&amp;" "&amp;D37</f>
        <v xml:space="preserve">Technical </v>
      </c>
      <c r="B37" s="12" t="s">
        <v>32</v>
      </c>
      <c r="C37" s="15" t="s">
        <v>275</v>
      </c>
      <c r="D37" s="16"/>
      <c r="E37" s="18">
        <v>12551.97</v>
      </c>
      <c r="F37" s="15"/>
      <c r="G37" s="22" t="s">
        <v>18</v>
      </c>
      <c r="H37" s="3" t="str">
        <f t="shared" si="1"/>
        <v>Technical Abdulelah Alforih</v>
      </c>
    </row>
    <row r="38" spans="1:8" x14ac:dyDescent="0.2">
      <c r="A38" s="3" t="str">
        <f>B38&amp;" "&amp;D38</f>
        <v xml:space="preserve">Technical </v>
      </c>
      <c r="B38" s="12" t="s">
        <v>32</v>
      </c>
      <c r="C38" s="15" t="s">
        <v>276</v>
      </c>
      <c r="D38" s="16"/>
      <c r="E38" s="19">
        <v>9821.61</v>
      </c>
      <c r="F38" s="15"/>
      <c r="G38" s="22" t="s">
        <v>18</v>
      </c>
      <c r="H38" s="3" t="str">
        <f t="shared" si="1"/>
        <v>Technical Abdulaziz  Aljanobi</v>
      </c>
    </row>
    <row r="39" spans="1:8" x14ac:dyDescent="0.2">
      <c r="B39" s="12" t="s">
        <v>32</v>
      </c>
      <c r="C39" s="15" t="s">
        <v>277</v>
      </c>
      <c r="D39" s="16"/>
      <c r="E39" s="19"/>
      <c r="F39" s="15"/>
      <c r="G39" s="15" t="s">
        <v>26</v>
      </c>
      <c r="H39" s="3" t="str">
        <f t="shared" si="1"/>
        <v>Technical Egypt</v>
      </c>
    </row>
    <row r="40" spans="1:8" x14ac:dyDescent="0.2">
      <c r="B40" s="14"/>
      <c r="C40" s="15"/>
      <c r="D40" s="16"/>
      <c r="E40" s="19"/>
      <c r="F40" s="15"/>
      <c r="G40" s="15"/>
      <c r="H40" s="3" t="str">
        <f t="shared" si="1"/>
        <v xml:space="preserve"> </v>
      </c>
    </row>
    <row r="41" spans="1:8" x14ac:dyDescent="0.2">
      <c r="B41" s="14"/>
      <c r="C41" s="15"/>
      <c r="D41" s="16"/>
      <c r="E41" s="19"/>
      <c r="F41" s="15"/>
      <c r="G41" s="15"/>
      <c r="H41" s="3" t="str">
        <f t="shared" si="1"/>
        <v xml:space="preserve"> </v>
      </c>
    </row>
    <row r="42" spans="1:8" x14ac:dyDescent="0.2">
      <c r="B42" s="14"/>
      <c r="C42" s="15"/>
      <c r="D42" s="16"/>
      <c r="E42" s="19"/>
      <c r="F42" s="15"/>
      <c r="G42" s="15"/>
      <c r="H42" s="3" t="str">
        <f t="shared" si="1"/>
        <v xml:space="preserve"> </v>
      </c>
    </row>
    <row r="43" spans="1:8" x14ac:dyDescent="0.2">
      <c r="B43" s="14"/>
      <c r="C43" s="15"/>
      <c r="D43" s="16"/>
      <c r="E43" s="19"/>
      <c r="F43" s="15"/>
      <c r="G43" s="15"/>
      <c r="H43" s="3" t="str">
        <f t="shared" si="1"/>
        <v xml:space="preserve"> </v>
      </c>
    </row>
    <row r="44" spans="1:8" x14ac:dyDescent="0.2">
      <c r="B44" s="14"/>
      <c r="C44" s="15"/>
      <c r="D44" s="16"/>
      <c r="E44" s="19"/>
      <c r="F44" s="15"/>
      <c r="G44" s="15"/>
      <c r="H44" s="3" t="str">
        <f t="shared" si="1"/>
        <v xml:space="preserve"> </v>
      </c>
    </row>
    <row r="45" spans="1:8" x14ac:dyDescent="0.2">
      <c r="B45" s="14"/>
      <c r="C45" s="15"/>
      <c r="D45" s="16"/>
      <c r="E45" s="19"/>
      <c r="F45" s="15"/>
      <c r="G45" s="15"/>
      <c r="H45" s="3" t="str">
        <f t="shared" si="1"/>
        <v xml:space="preserve"> </v>
      </c>
    </row>
    <row r="46" spans="1:8" x14ac:dyDescent="0.2">
      <c r="B46" s="14"/>
      <c r="C46" s="15"/>
      <c r="D46" s="16"/>
      <c r="E46" s="19"/>
      <c r="F46" s="15"/>
      <c r="G46" s="15"/>
      <c r="H46" s="3" t="str">
        <f t="shared" si="1"/>
        <v xml:space="preserve"> </v>
      </c>
    </row>
    <row r="47" spans="1:8" x14ac:dyDescent="0.2">
      <c r="B47" s="14"/>
      <c r="C47" s="15"/>
      <c r="D47" s="16"/>
      <c r="E47" s="19"/>
      <c r="F47" s="15"/>
      <c r="G47" s="15"/>
      <c r="H47" s="3" t="str">
        <f t="shared" si="1"/>
        <v xml:space="preserve"> </v>
      </c>
    </row>
    <row r="48" spans="1:8" x14ac:dyDescent="0.2">
      <c r="B48" s="14"/>
      <c r="C48" s="15"/>
      <c r="D48" s="16"/>
      <c r="E48" s="19"/>
      <c r="F48" s="15"/>
      <c r="G48" s="15"/>
      <c r="H48" s="3" t="str">
        <f t="shared" si="1"/>
        <v xml:space="preserve"> </v>
      </c>
    </row>
    <row r="49" spans="2:8" x14ac:dyDescent="0.2">
      <c r="B49" s="14"/>
      <c r="C49" s="15"/>
      <c r="D49" s="16"/>
      <c r="E49" s="19"/>
      <c r="F49" s="15"/>
      <c r="G49" s="15"/>
      <c r="H49" s="3" t="str">
        <f t="shared" si="1"/>
        <v xml:space="preserve"> </v>
      </c>
    </row>
    <row r="50" spans="2:8" x14ac:dyDescent="0.2">
      <c r="B50" s="14"/>
      <c r="C50" s="15"/>
      <c r="D50" s="16"/>
      <c r="E50" s="19"/>
      <c r="F50" s="15"/>
      <c r="G50" s="15"/>
      <c r="H50" s="3" t="str">
        <f t="shared" si="1"/>
        <v xml:space="preserve"> </v>
      </c>
    </row>
    <row r="51" spans="2:8" x14ac:dyDescent="0.2">
      <c r="B51" s="14"/>
      <c r="C51" s="15"/>
      <c r="D51" s="16"/>
      <c r="E51" s="19"/>
      <c r="F51" s="15"/>
      <c r="G51" s="15"/>
      <c r="H51" s="3" t="str">
        <f t="shared" si="1"/>
        <v xml:space="preserve"> </v>
      </c>
    </row>
    <row r="52" spans="2:8" x14ac:dyDescent="0.2">
      <c r="B52" s="14"/>
      <c r="C52" s="15"/>
      <c r="D52" s="16"/>
      <c r="E52" s="19"/>
      <c r="F52" s="15"/>
      <c r="G52" s="15"/>
      <c r="H52" s="3" t="str">
        <f t="shared" si="1"/>
        <v xml:space="preserve"> </v>
      </c>
    </row>
    <row r="53" spans="2:8" x14ac:dyDescent="0.2">
      <c r="B53" s="14"/>
      <c r="C53" s="15"/>
      <c r="D53" s="16"/>
      <c r="E53" s="19"/>
      <c r="F53" s="15"/>
      <c r="G53" s="15"/>
      <c r="H53" s="3" t="str">
        <f t="shared" si="1"/>
        <v xml:space="preserve"> </v>
      </c>
    </row>
    <row r="54" spans="2:8" x14ac:dyDescent="0.2">
      <c r="B54" s="14"/>
      <c r="C54" s="15"/>
      <c r="D54" s="16"/>
      <c r="E54" s="19"/>
      <c r="F54" s="15"/>
      <c r="G54" s="15"/>
      <c r="H54" s="3" t="str">
        <f t="shared" si="1"/>
        <v xml:space="preserve"> </v>
      </c>
    </row>
    <row r="55" spans="2:8" x14ac:dyDescent="0.2">
      <c r="B55" s="14"/>
      <c r="C55" s="15"/>
      <c r="D55" s="16"/>
      <c r="E55" s="19"/>
      <c r="F55" s="15"/>
      <c r="G55" s="15"/>
      <c r="H55" s="3" t="str">
        <f t="shared" si="1"/>
        <v xml:space="preserve"> </v>
      </c>
    </row>
    <row r="56" spans="2:8" x14ac:dyDescent="0.2">
      <c r="B56" s="14"/>
      <c r="C56" s="15"/>
      <c r="D56" s="16"/>
      <c r="E56" s="19"/>
      <c r="F56" s="15"/>
      <c r="G56" s="15"/>
      <c r="H56" s="3" t="str">
        <f t="shared" si="1"/>
        <v xml:space="preserve"> </v>
      </c>
    </row>
    <row r="57" spans="2:8" x14ac:dyDescent="0.2">
      <c r="B57" s="14"/>
      <c r="C57" s="15"/>
      <c r="D57" s="16"/>
      <c r="E57" s="19"/>
      <c r="F57" s="15"/>
      <c r="G57" s="15"/>
      <c r="H57" s="3" t="str">
        <f t="shared" si="1"/>
        <v xml:space="preserve"> </v>
      </c>
    </row>
    <row r="58" spans="2:8" x14ac:dyDescent="0.2">
      <c r="B58" s="14"/>
      <c r="C58" s="15"/>
      <c r="D58" s="16"/>
      <c r="E58" s="19"/>
      <c r="F58" s="15"/>
      <c r="G58" s="15"/>
      <c r="H58" s="3" t="str">
        <f t="shared" si="1"/>
        <v xml:space="preserve"> </v>
      </c>
    </row>
    <row r="59" spans="2:8" x14ac:dyDescent="0.2">
      <c r="B59" s="14"/>
      <c r="C59" s="15"/>
      <c r="D59" s="16"/>
      <c r="E59" s="19"/>
      <c r="F59" s="15"/>
      <c r="G59" s="15"/>
      <c r="H59" s="3" t="str">
        <f t="shared" si="1"/>
        <v xml:space="preserve"> </v>
      </c>
    </row>
    <row r="60" spans="2:8" x14ac:dyDescent="0.2">
      <c r="B60" s="14"/>
      <c r="C60" s="15"/>
      <c r="D60" s="16"/>
      <c r="E60" s="19"/>
      <c r="F60" s="15"/>
      <c r="G60" s="15"/>
      <c r="H60" s="3" t="str">
        <f t="shared" si="1"/>
        <v xml:space="preserve"> </v>
      </c>
    </row>
    <row r="61" spans="2:8" x14ac:dyDescent="0.2">
      <c r="B61" s="14"/>
      <c r="C61" s="15"/>
      <c r="D61" s="16"/>
      <c r="E61" s="19"/>
      <c r="F61" s="15"/>
      <c r="G61" s="15"/>
      <c r="H61" s="3" t="str">
        <f t="shared" si="1"/>
        <v xml:space="preserve"> </v>
      </c>
    </row>
    <row r="62" spans="2:8" x14ac:dyDescent="0.2">
      <c r="B62" s="14"/>
      <c r="C62" s="15"/>
      <c r="D62" s="16"/>
      <c r="E62" s="19"/>
      <c r="F62" s="15"/>
      <c r="G62" s="15"/>
      <c r="H62" s="3" t="str">
        <f t="shared" si="1"/>
        <v xml:space="preserve"> </v>
      </c>
    </row>
    <row r="63" spans="2:8" x14ac:dyDescent="0.2">
      <c r="B63" s="14"/>
      <c r="C63" s="15"/>
      <c r="D63" s="16"/>
      <c r="E63" s="19"/>
      <c r="F63" s="15"/>
      <c r="G63" s="15"/>
      <c r="H63" s="3" t="str">
        <f t="shared" si="1"/>
        <v xml:space="preserve"> </v>
      </c>
    </row>
    <row r="64" spans="2:8" x14ac:dyDescent="0.2">
      <c r="B64" s="14"/>
      <c r="C64" s="15"/>
      <c r="D64" s="16"/>
      <c r="E64" s="19"/>
      <c r="F64" s="15"/>
      <c r="G64" s="15"/>
      <c r="H64" s="3" t="str">
        <f t="shared" si="1"/>
        <v xml:space="preserve"> </v>
      </c>
    </row>
    <row r="65" spans="2:8" x14ac:dyDescent="0.2">
      <c r="B65" s="14"/>
      <c r="C65" s="15"/>
      <c r="D65" s="16"/>
      <c r="E65" s="19"/>
      <c r="F65" s="15"/>
      <c r="G65" s="15"/>
      <c r="H65" s="3" t="str">
        <f t="shared" si="1"/>
        <v xml:space="preserve"> </v>
      </c>
    </row>
    <row r="66" spans="2:8" x14ac:dyDescent="0.2">
      <c r="B66" s="14"/>
      <c r="C66" s="15"/>
      <c r="D66" s="16"/>
      <c r="E66" s="19"/>
      <c r="F66" s="15"/>
      <c r="G66" s="15"/>
      <c r="H66" s="3" t="str">
        <f t="shared" si="1"/>
        <v xml:space="preserve"> </v>
      </c>
    </row>
    <row r="67" spans="2:8" x14ac:dyDescent="0.2">
      <c r="B67" s="14"/>
      <c r="C67" s="15"/>
      <c r="D67" s="16"/>
      <c r="E67" s="19"/>
      <c r="F67" s="15"/>
      <c r="G67" s="15"/>
      <c r="H67" s="3" t="str">
        <f t="shared" si="1"/>
        <v xml:space="preserve"> </v>
      </c>
    </row>
    <row r="68" spans="2:8" x14ac:dyDescent="0.2">
      <c r="B68" s="14"/>
      <c r="C68" s="15"/>
      <c r="D68" s="16"/>
      <c r="E68" s="19"/>
      <c r="F68" s="15"/>
      <c r="G68" s="15"/>
      <c r="H68" s="3" t="str">
        <f t="shared" si="1"/>
        <v xml:space="preserve"> </v>
      </c>
    </row>
    <row r="69" spans="2:8" x14ac:dyDescent="0.2">
      <c r="B69" s="14"/>
      <c r="C69" s="15"/>
      <c r="D69" s="16"/>
      <c r="E69" s="19"/>
      <c r="F69" s="15"/>
      <c r="G69" s="15"/>
      <c r="H69" s="3" t="str">
        <f t="shared" ref="H69:H108" si="4">B69&amp;" "&amp;C69</f>
        <v xml:space="preserve"> </v>
      </c>
    </row>
    <row r="70" spans="2:8" x14ac:dyDescent="0.2">
      <c r="B70" s="14"/>
      <c r="C70" s="15"/>
      <c r="D70" s="16"/>
      <c r="E70" s="19"/>
      <c r="F70" s="15"/>
      <c r="G70" s="15"/>
      <c r="H70" s="3" t="str">
        <f t="shared" si="4"/>
        <v xml:space="preserve"> </v>
      </c>
    </row>
    <row r="71" spans="2:8" x14ac:dyDescent="0.2">
      <c r="B71" s="14"/>
      <c r="C71" s="15"/>
      <c r="D71" s="16"/>
      <c r="E71" s="19"/>
      <c r="F71" s="15"/>
      <c r="G71" s="15"/>
      <c r="H71" s="3" t="str">
        <f t="shared" si="4"/>
        <v xml:space="preserve"> </v>
      </c>
    </row>
    <row r="72" spans="2:8" x14ac:dyDescent="0.2">
      <c r="B72" s="14"/>
      <c r="C72" s="15"/>
      <c r="D72" s="16"/>
      <c r="E72" s="19"/>
      <c r="F72" s="15"/>
      <c r="G72" s="15"/>
      <c r="H72" s="3" t="str">
        <f t="shared" si="4"/>
        <v xml:space="preserve"> </v>
      </c>
    </row>
    <row r="73" spans="2:8" x14ac:dyDescent="0.2">
      <c r="B73" s="14"/>
      <c r="C73" s="15"/>
      <c r="D73" s="16"/>
      <c r="E73" s="19"/>
      <c r="F73" s="15"/>
      <c r="G73" s="15"/>
      <c r="H73" s="3" t="str">
        <f t="shared" si="4"/>
        <v xml:space="preserve"> </v>
      </c>
    </row>
    <row r="74" spans="2:8" x14ac:dyDescent="0.2">
      <c r="B74" s="14"/>
      <c r="C74" s="15"/>
      <c r="D74" s="16"/>
      <c r="E74" s="19"/>
      <c r="F74" s="15"/>
      <c r="G74" s="15"/>
      <c r="H74" s="3" t="str">
        <f t="shared" si="4"/>
        <v xml:space="preserve"> </v>
      </c>
    </row>
    <row r="75" spans="2:8" x14ac:dyDescent="0.2">
      <c r="B75" s="14"/>
      <c r="C75" s="15"/>
      <c r="D75" s="16"/>
      <c r="E75" s="19"/>
      <c r="F75" s="15"/>
      <c r="G75" s="15"/>
      <c r="H75" s="3" t="str">
        <f t="shared" si="4"/>
        <v xml:space="preserve"> </v>
      </c>
    </row>
    <row r="76" spans="2:8" x14ac:dyDescent="0.2">
      <c r="B76" s="14"/>
      <c r="C76" s="15"/>
      <c r="D76" s="16"/>
      <c r="E76" s="19"/>
      <c r="F76" s="15"/>
      <c r="G76" s="15"/>
      <c r="H76" s="3" t="str">
        <f t="shared" si="4"/>
        <v xml:space="preserve"> </v>
      </c>
    </row>
    <row r="77" spans="2:8" x14ac:dyDescent="0.2">
      <c r="B77" s="14"/>
      <c r="C77" s="15"/>
      <c r="D77" s="16"/>
      <c r="E77" s="19"/>
      <c r="F77" s="15"/>
      <c r="G77" s="15"/>
      <c r="H77" s="3" t="str">
        <f t="shared" si="4"/>
        <v xml:space="preserve"> </v>
      </c>
    </row>
    <row r="78" spans="2:8" x14ac:dyDescent="0.2">
      <c r="B78" s="14"/>
      <c r="C78" s="15"/>
      <c r="D78" s="16"/>
      <c r="E78" s="19"/>
      <c r="F78" s="15"/>
      <c r="G78" s="15"/>
      <c r="H78" s="3" t="str">
        <f t="shared" si="4"/>
        <v xml:space="preserve"> </v>
      </c>
    </row>
    <row r="79" spans="2:8" x14ac:dyDescent="0.2">
      <c r="B79" s="14"/>
      <c r="C79" s="15"/>
      <c r="D79" s="16"/>
      <c r="E79" s="19"/>
      <c r="F79" s="15"/>
      <c r="G79" s="15"/>
      <c r="H79" s="3" t="str">
        <f t="shared" si="4"/>
        <v xml:space="preserve"> </v>
      </c>
    </row>
    <row r="80" spans="2:8" x14ac:dyDescent="0.2">
      <c r="B80" s="14"/>
      <c r="C80" s="15"/>
      <c r="D80" s="16"/>
      <c r="E80" s="19"/>
      <c r="F80" s="15"/>
      <c r="G80" s="15"/>
      <c r="H80" s="3" t="str">
        <f t="shared" si="4"/>
        <v xml:space="preserve"> </v>
      </c>
    </row>
    <row r="81" spans="2:8" x14ac:dyDescent="0.2">
      <c r="B81" s="14"/>
      <c r="C81" s="15"/>
      <c r="D81" s="16"/>
      <c r="E81" s="19"/>
      <c r="F81" s="15"/>
      <c r="G81" s="15"/>
      <c r="H81" s="3" t="str">
        <f t="shared" si="4"/>
        <v xml:space="preserve"> </v>
      </c>
    </row>
    <row r="82" spans="2:8" x14ac:dyDescent="0.2">
      <c r="B82" s="14"/>
      <c r="C82" s="15"/>
      <c r="D82" s="16"/>
      <c r="E82" s="19"/>
      <c r="F82" s="15"/>
      <c r="G82" s="15"/>
      <c r="H82" s="3" t="str">
        <f t="shared" si="4"/>
        <v xml:space="preserve"> </v>
      </c>
    </row>
    <row r="83" spans="2:8" x14ac:dyDescent="0.2">
      <c r="B83" s="14"/>
      <c r="C83" s="15"/>
      <c r="D83" s="16"/>
      <c r="E83" s="19"/>
      <c r="F83" s="15"/>
      <c r="G83" s="15"/>
      <c r="H83" s="3" t="str">
        <f t="shared" si="4"/>
        <v xml:space="preserve"> </v>
      </c>
    </row>
    <row r="84" spans="2:8" x14ac:dyDescent="0.2">
      <c r="B84" s="14"/>
      <c r="C84" s="15"/>
      <c r="D84" s="16"/>
      <c r="E84" s="19"/>
      <c r="F84" s="15"/>
      <c r="G84" s="15"/>
      <c r="H84" s="3" t="str">
        <f t="shared" si="4"/>
        <v xml:space="preserve"> </v>
      </c>
    </row>
    <row r="85" spans="2:8" x14ac:dyDescent="0.2">
      <c r="B85" s="14"/>
      <c r="C85" s="15"/>
      <c r="D85" s="16"/>
      <c r="E85" s="19"/>
      <c r="F85" s="15"/>
      <c r="G85" s="15"/>
      <c r="H85" s="3" t="str">
        <f t="shared" si="4"/>
        <v xml:space="preserve"> </v>
      </c>
    </row>
    <row r="86" spans="2:8" x14ac:dyDescent="0.2">
      <c r="B86" s="14"/>
      <c r="C86" s="15"/>
      <c r="D86" s="16"/>
      <c r="E86" s="19"/>
      <c r="F86" s="15"/>
      <c r="G86" s="15"/>
      <c r="H86" s="3" t="str">
        <f t="shared" si="4"/>
        <v xml:space="preserve"> </v>
      </c>
    </row>
    <row r="87" spans="2:8" x14ac:dyDescent="0.2">
      <c r="B87" s="14"/>
      <c r="C87" s="15"/>
      <c r="D87" s="16"/>
      <c r="E87" s="19"/>
      <c r="F87" s="15"/>
      <c r="G87" s="15"/>
      <c r="H87" s="3" t="str">
        <f t="shared" si="4"/>
        <v xml:space="preserve"> </v>
      </c>
    </row>
    <row r="88" spans="2:8" x14ac:dyDescent="0.2">
      <c r="B88" s="14"/>
      <c r="C88" s="15"/>
      <c r="D88" s="16"/>
      <c r="E88" s="19"/>
      <c r="F88" s="15"/>
      <c r="G88" s="15"/>
      <c r="H88" s="3" t="str">
        <f t="shared" si="4"/>
        <v xml:space="preserve"> </v>
      </c>
    </row>
    <row r="89" spans="2:8" x14ac:dyDescent="0.2">
      <c r="B89" s="14"/>
      <c r="C89" s="15"/>
      <c r="D89" s="16"/>
      <c r="E89" s="19"/>
      <c r="F89" s="15"/>
      <c r="G89" s="15"/>
      <c r="H89" s="3" t="str">
        <f t="shared" si="4"/>
        <v xml:space="preserve"> </v>
      </c>
    </row>
    <row r="90" spans="2:8" x14ac:dyDescent="0.2">
      <c r="B90" s="14"/>
      <c r="C90" s="15"/>
      <c r="D90" s="16"/>
      <c r="E90" s="19"/>
      <c r="F90" s="15"/>
      <c r="G90" s="15"/>
      <c r="H90" s="3" t="str">
        <f t="shared" si="4"/>
        <v xml:space="preserve"> </v>
      </c>
    </row>
    <row r="91" spans="2:8" x14ac:dyDescent="0.2">
      <c r="B91" s="14"/>
      <c r="C91" s="15"/>
      <c r="D91" s="16"/>
      <c r="E91" s="19"/>
      <c r="F91" s="15"/>
      <c r="G91" s="15"/>
      <c r="H91" s="3" t="str">
        <f t="shared" si="4"/>
        <v xml:space="preserve"> </v>
      </c>
    </row>
    <row r="92" spans="2:8" x14ac:dyDescent="0.2">
      <c r="B92" s="14"/>
      <c r="C92" s="15"/>
      <c r="D92" s="16"/>
      <c r="E92" s="19"/>
      <c r="F92" s="15"/>
      <c r="G92" s="15"/>
      <c r="H92" s="3" t="str">
        <f t="shared" si="4"/>
        <v xml:space="preserve"> </v>
      </c>
    </row>
    <row r="93" spans="2:8" x14ac:dyDescent="0.2">
      <c r="B93" s="14"/>
      <c r="C93" s="15"/>
      <c r="D93" s="16"/>
      <c r="E93" s="19"/>
      <c r="F93" s="15"/>
      <c r="G93" s="15"/>
      <c r="H93" s="3" t="str">
        <f t="shared" si="4"/>
        <v xml:space="preserve"> </v>
      </c>
    </row>
    <row r="94" spans="2:8" x14ac:dyDescent="0.2">
      <c r="B94" s="14"/>
      <c r="C94" s="15"/>
      <c r="D94" s="16"/>
      <c r="E94" s="19"/>
      <c r="F94" s="15"/>
      <c r="G94" s="15"/>
      <c r="H94" s="3" t="str">
        <f t="shared" si="4"/>
        <v xml:space="preserve"> </v>
      </c>
    </row>
    <row r="95" spans="2:8" x14ac:dyDescent="0.2">
      <c r="B95" s="14"/>
      <c r="C95" s="15"/>
      <c r="D95" s="16"/>
      <c r="E95" s="19"/>
      <c r="F95" s="15"/>
      <c r="G95" s="15"/>
      <c r="H95" s="3" t="str">
        <f t="shared" si="4"/>
        <v xml:space="preserve"> </v>
      </c>
    </row>
    <row r="96" spans="2:8" x14ac:dyDescent="0.2">
      <c r="B96" s="14"/>
      <c r="C96" s="15"/>
      <c r="D96" s="16"/>
      <c r="E96" s="19"/>
      <c r="F96" s="15"/>
      <c r="G96" s="15"/>
      <c r="H96" s="3" t="str">
        <f t="shared" si="4"/>
        <v xml:space="preserve"> </v>
      </c>
    </row>
    <row r="97" spans="2:8" x14ac:dyDescent="0.2">
      <c r="B97" s="14"/>
      <c r="C97" s="15"/>
      <c r="D97" s="16"/>
      <c r="E97" s="19"/>
      <c r="F97" s="15"/>
      <c r="G97" s="15"/>
      <c r="H97" s="3" t="str">
        <f t="shared" si="4"/>
        <v xml:space="preserve"> </v>
      </c>
    </row>
    <row r="98" spans="2:8" x14ac:dyDescent="0.2">
      <c r="B98" s="14"/>
      <c r="C98" s="15"/>
      <c r="D98" s="16"/>
      <c r="E98" s="19"/>
      <c r="F98" s="15"/>
      <c r="G98" s="15"/>
      <c r="H98" s="3" t="str">
        <f t="shared" si="4"/>
        <v xml:space="preserve"> </v>
      </c>
    </row>
    <row r="99" spans="2:8" x14ac:dyDescent="0.2">
      <c r="B99" s="14"/>
      <c r="C99" s="15"/>
      <c r="D99" s="16"/>
      <c r="E99" s="19"/>
      <c r="F99" s="15"/>
      <c r="G99" s="15"/>
      <c r="H99" s="3" t="str">
        <f t="shared" si="4"/>
        <v xml:space="preserve"> </v>
      </c>
    </row>
    <row r="100" spans="2:8" x14ac:dyDescent="0.2">
      <c r="B100" s="14"/>
      <c r="C100" s="15"/>
      <c r="D100" s="16"/>
      <c r="E100" s="19"/>
      <c r="F100" s="15"/>
      <c r="G100" s="15"/>
      <c r="H100" s="3" t="str">
        <f t="shared" si="4"/>
        <v xml:space="preserve"> </v>
      </c>
    </row>
    <row r="101" spans="2:8" x14ac:dyDescent="0.2">
      <c r="B101" s="14"/>
      <c r="C101" s="15"/>
      <c r="D101" s="16"/>
      <c r="E101" s="19"/>
      <c r="F101" s="15"/>
      <c r="G101" s="15"/>
      <c r="H101" s="3" t="str">
        <f t="shared" si="4"/>
        <v xml:space="preserve"> </v>
      </c>
    </row>
    <row r="102" spans="2:8" x14ac:dyDescent="0.2">
      <c r="B102" s="14"/>
      <c r="C102" s="15"/>
      <c r="D102" s="16"/>
      <c r="E102" s="19"/>
      <c r="F102" s="15"/>
      <c r="G102" s="15"/>
      <c r="H102" s="3" t="str">
        <f t="shared" si="4"/>
        <v xml:space="preserve"> </v>
      </c>
    </row>
    <row r="103" spans="2:8" x14ac:dyDescent="0.2">
      <c r="B103" s="14"/>
      <c r="C103" s="15"/>
      <c r="D103" s="16"/>
      <c r="E103" s="19"/>
      <c r="F103" s="15"/>
      <c r="G103" s="15"/>
      <c r="H103" s="3" t="str">
        <f t="shared" si="4"/>
        <v xml:space="preserve"> </v>
      </c>
    </row>
    <row r="104" spans="2:8" x14ac:dyDescent="0.2">
      <c r="B104" s="14"/>
      <c r="C104" s="15"/>
      <c r="D104" s="16"/>
      <c r="E104" s="19"/>
      <c r="F104" s="15"/>
      <c r="G104" s="15"/>
      <c r="H104" s="3" t="str">
        <f t="shared" si="4"/>
        <v xml:space="preserve"> </v>
      </c>
    </row>
    <row r="105" spans="2:8" x14ac:dyDescent="0.2">
      <c r="B105" s="14"/>
      <c r="C105" s="15"/>
      <c r="D105" s="16"/>
      <c r="E105" s="19"/>
      <c r="F105" s="15"/>
      <c r="G105" s="15"/>
      <c r="H105" s="3" t="str">
        <f t="shared" si="4"/>
        <v xml:space="preserve"> </v>
      </c>
    </row>
    <row r="106" spans="2:8" x14ac:dyDescent="0.2">
      <c r="B106" s="14"/>
      <c r="C106" s="15"/>
      <c r="D106" s="16"/>
      <c r="E106" s="19"/>
      <c r="F106" s="15"/>
      <c r="G106" s="15"/>
      <c r="H106" s="3" t="str">
        <f t="shared" si="4"/>
        <v xml:space="preserve"> </v>
      </c>
    </row>
    <row r="107" spans="2:8" x14ac:dyDescent="0.2">
      <c r="B107" s="14"/>
      <c r="C107" s="15"/>
      <c r="D107" s="16"/>
      <c r="E107" s="19"/>
      <c r="F107" s="15"/>
      <c r="G107" s="15"/>
      <c r="H107" s="3" t="str">
        <f t="shared" si="4"/>
        <v xml:space="preserve"> </v>
      </c>
    </row>
    <row r="108" spans="2:8" x14ac:dyDescent="0.2">
      <c r="B108" s="14"/>
      <c r="C108" s="15"/>
      <c r="D108" s="16"/>
      <c r="E108" s="19"/>
      <c r="F108" s="15"/>
      <c r="G108" s="15"/>
      <c r="H108" s="3" t="str">
        <f t="shared" si="4"/>
        <v xml:space="preserve"> </v>
      </c>
    </row>
  </sheetData>
  <sheetProtection algorithmName="SHA-512" hashValue="DQsakYijBLS+HPphsjCwT+wt7xSywiG0qz2/Kyr0QgfKMbT/Id5BK207caHw90w4hfjzBEZW/RGoCnP+EqZalA==" saltValue="mKVwtv7vSGGU5IeN+NFU0Q==" spinCount="100000" sheet="1" scenarios="1" formatCells="0" formatRows="0" insertRows="0" sort="0" autoFilter="0"/>
  <protectedRanges>
    <protectedRange sqref="B4:G108" name="Range1"/>
  </protectedRanges>
  <autoFilter ref="A3:G38" xr:uid="{7152AAD9-5BFA-4C96-8A5D-3C35CAE075EB}">
    <sortState xmlns:xlrd2="http://schemas.microsoft.com/office/spreadsheetml/2017/richdata2" ref="A4:G38">
      <sortCondition ref="B4:B38"/>
    </sortState>
  </autoFilter>
  <sortState xmlns:xlrd2="http://schemas.microsoft.com/office/spreadsheetml/2017/richdata2" ref="J6:K30">
    <sortCondition ref="J6:J30"/>
  </sortState>
  <dataConsolidate/>
  <mergeCells count="1">
    <mergeCell ref="D1:E1"/>
  </mergeCells>
  <hyperlinks>
    <hyperlink ref="K4" r:id="rId1" xr:uid="{F23F5C89-E307-4FFE-BE8F-AA3C551BCE9E}"/>
    <hyperlink ref="K5" r:id="rId2" xr:uid="{7B60F25B-5D82-44B5-B14D-15D739FD0AD5}"/>
  </hyperlinks>
  <pageMargins left="0.7" right="0.7" top="0.75" bottom="0.75" header="0.3" footer="0.3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6041CA-9C80-4F07-A059-1184D4DD93DD}">
          <x14:formula1>
            <xm:f>List!$A$3:$A$5</xm:f>
          </x14:formula1>
          <xm:sqref>B4:B108</xm:sqref>
        </x14:dataValidation>
        <x14:dataValidation type="list" allowBlank="1" showInputMessage="1" showErrorMessage="1" xr:uid="{D8E25C37-06F7-4CB6-A629-F860E5A91337}">
          <x14:formula1>
            <xm:f>List!$B$3:$B$56</xm:f>
          </x14:formula1>
          <xm:sqref>D4:D108</xm:sqref>
        </x14:dataValidation>
        <x14:dataValidation type="list" allowBlank="1" showInputMessage="1" showErrorMessage="1" xr:uid="{4B41906C-3510-459B-9DC7-A87008220B5B}">
          <x14:formula1>
            <xm:f>List!$C$3:$C$12</xm:f>
          </x14:formula1>
          <xm:sqref>G4:G108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049A-FDC0-49FE-A677-D6BA39CC396B}">
  <dimension ref="A1:C3"/>
  <sheetViews>
    <sheetView workbookViewId="0">
      <selection activeCell="E15" sqref="E15"/>
    </sheetView>
  </sheetViews>
  <sheetFormatPr defaultRowHeight="14.25" x14ac:dyDescent="0.2"/>
  <cols>
    <col min="3" max="3" width="4.625" hidden="1" customWidth="1"/>
  </cols>
  <sheetData>
    <row r="1" spans="1:3" x14ac:dyDescent="0.2">
      <c r="A1" s="133" t="s">
        <v>16</v>
      </c>
      <c r="B1" t="s">
        <v>17</v>
      </c>
      <c r="C1">
        <f>INDEX(Employees!$E:$E,MATCH($A1&amp;" "&amp;$B1,Employees!$A:$A,0))</f>
        <v>31573.65</v>
      </c>
    </row>
    <row r="2" spans="1:3" x14ac:dyDescent="0.2">
      <c r="A2" s="134" t="s">
        <v>24</v>
      </c>
      <c r="B2" t="s">
        <v>17</v>
      </c>
      <c r="C2">
        <f>INDEX(Employees!$E:$E,MATCH($A2&amp;" "&amp;$B2,Employees!$A:$A,0))</f>
        <v>41317.050000000003</v>
      </c>
    </row>
    <row r="3" spans="1:3" x14ac:dyDescent="0.2">
      <c r="A3" s="134" t="s">
        <v>32</v>
      </c>
      <c r="B3" t="s">
        <v>17</v>
      </c>
      <c r="C3">
        <f>INDEX(Employees!$E:$E,MATCH($A3&amp;" "&amp;$B3,Employees!$A:$A,0))</f>
        <v>39495.370000000003</v>
      </c>
    </row>
  </sheetData>
  <sheetProtection algorithmName="SHA-512" hashValue="Qv2dA5HSFdMJnN5/THnrBc1qKiOkKaAAMx2UVI2RQgYqChumTy+29zLuS1kwc9H0THpzBVyZNqF7DZi3bNCRGQ==" saltValue="ce1WAhaMOUXU0TUmbBiJQw==" spinCount="100000" sheet="1" objects="1" scenarios="1"/>
  <conditionalFormatting sqref="A1:A3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Projects List</vt:lpstr>
      <vt:lpstr>KPI</vt:lpstr>
      <vt:lpstr>Tasks</vt:lpstr>
      <vt:lpstr>External Tasks</vt:lpstr>
      <vt:lpstr>Employees</vt:lpstr>
      <vt:lpstr>HeadDep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Abdulrhman Mohammed</dc:creator>
  <cp:keywords/>
  <dc:description/>
  <cp:lastModifiedBy>Abdulrahman mohammed</cp:lastModifiedBy>
  <cp:revision/>
  <dcterms:created xsi:type="dcterms:W3CDTF">2025-02-08T12:52:08Z</dcterms:created>
  <dcterms:modified xsi:type="dcterms:W3CDTF">2026-01-21T07:29:43Z</dcterms:modified>
  <cp:category/>
  <cp:contentStatus/>
</cp:coreProperties>
</file>